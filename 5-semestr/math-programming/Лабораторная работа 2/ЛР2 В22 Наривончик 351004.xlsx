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y Naryvonchyk\Desktop\5 семестр\МАТПРОГ\Лабораторная работа 2\"/>
    </mc:Choice>
  </mc:AlternateContent>
  <xr:revisionPtr revIDLastSave="0" documentId="13_ncr:1_{44F46B60-EF21-4848-A640-A9BC8044C9C1}" xr6:coauthVersionLast="47" xr6:coauthVersionMax="47" xr10:uidLastSave="{00000000-0000-0000-0000-000000000000}"/>
  <bookViews>
    <workbookView xWindow="-108" yWindow="-108" windowWidth="23256" windowHeight="12576" firstSheet="1" activeTab="6" xr2:uid="{00000000-000D-0000-FFFF-FFFF00000000}"/>
  </bookViews>
  <sheets>
    <sheet name="Answer Report 2" sheetId="7" r:id="rId1"/>
    <sheet name="Sensitivity Report 2" sheetId="8" r:id="rId2"/>
    <sheet name="Limits Report 2" sheetId="9" r:id="rId3"/>
    <sheet name="Answer Report 3" sheetId="10" r:id="rId4"/>
    <sheet name="Sensitivity Report 3" sheetId="11" r:id="rId5"/>
    <sheet name="Limits Report 3" sheetId="12" r:id="rId6"/>
    <sheet name="Sheet1" sheetId="1" r:id="rId7"/>
    <sheet name="Answer Report 1" sheetId="4" state="hidden" r:id="rId8"/>
    <sheet name="Sensitivity Report 1" sheetId="5" state="hidden" r:id="rId9"/>
    <sheet name="Limits Report 1" sheetId="6" state="hidden" r:id="rId10"/>
  </sheets>
  <definedNames>
    <definedName name="solver_adj" localSheetId="6" hidden="1">Sheet1!$F$26:$H$26</definedName>
    <definedName name="solver_cvg" localSheetId="6" hidden="1">0.0001</definedName>
    <definedName name="solver_drv" localSheetId="6" hidden="1">2</definedName>
    <definedName name="solver_eng" localSheetId="6" hidden="1">2</definedName>
    <definedName name="solver_est" localSheetId="6" hidden="1">1</definedName>
    <definedName name="solver_itr" localSheetId="6" hidden="1">100</definedName>
    <definedName name="solver_lhs1" localSheetId="6" hidden="1">Sheet1!$I$30:$I$31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1</definedName>
    <definedName name="solver_nwt" localSheetId="6" hidden="1">1</definedName>
    <definedName name="solver_opt" localSheetId="6" hidden="1">Sheet1!$I$27</definedName>
    <definedName name="solver_pre" localSheetId="6" hidden="1">0.000001</definedName>
    <definedName name="solver_rbv" localSheetId="6" hidden="1">2</definedName>
    <definedName name="solver_rel1" localSheetId="6" hidden="1">3</definedName>
    <definedName name="solver_rhs1" localSheetId="6" hidden="1">Sheet1!$K$30:$K$31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9" hidden="1">2</definedName>
    <definedName name="solver_sho" localSheetId="2" hidden="1">2</definedName>
    <definedName name="solver_sho" localSheetId="5" hidden="1">2</definedName>
    <definedName name="solver_sho" localSheetId="6" hidden="1">2</definedName>
    <definedName name="solver_ssz" localSheetId="6" hidden="1">100</definedName>
    <definedName name="solver_tim" localSheetId="6" hidden="1">100</definedName>
    <definedName name="solver_tol" localSheetId="6" hidden="1">0.01</definedName>
    <definedName name="solver_typ" localSheetId="6" hidden="1">2</definedName>
    <definedName name="solver_val" localSheetId="6" hidden="1">0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30" i="1"/>
  <c r="I27" i="1"/>
  <c r="H13" i="1"/>
  <c r="H16" i="1"/>
  <c r="H18" i="1"/>
  <c r="H17" i="1"/>
</calcChain>
</file>

<file path=xl/sharedStrings.xml><?xml version="1.0" encoding="utf-8"?>
<sst xmlns="http://schemas.openxmlformats.org/spreadsheetml/2006/main" count="379" uniqueCount="105">
  <si>
    <t>Наривончик Александр</t>
  </si>
  <si>
    <t>Вариант 22</t>
  </si>
  <si>
    <t>Переменные</t>
  </si>
  <si>
    <t>y1</t>
  </si>
  <si>
    <t>&lt;=</t>
  </si>
  <si>
    <t>y2</t>
  </si>
  <si>
    <t>y3</t>
  </si>
  <si>
    <t>Ограничения</t>
  </si>
  <si>
    <t>вид</t>
  </si>
  <si>
    <t>лев.ч</t>
  </si>
  <si>
    <t>знак</t>
  </si>
  <si>
    <t>пр.ч</t>
  </si>
  <si>
    <t>Имя переменной</t>
  </si>
  <si>
    <t>Значение переменной</t>
  </si>
  <si>
    <t>Коэффициенты целевой функции</t>
  </si>
  <si>
    <t>Значение целевой функции</t>
  </si>
  <si>
    <t>Microsoft Excel 16.0 Answer Report</t>
  </si>
  <si>
    <t>Result: Solver found a solution.  All Constraints and optimality conditions are satisfied.</t>
  </si>
  <si>
    <t>Solver Engine</t>
  </si>
  <si>
    <t>Engine: Simplex LP</t>
  </si>
  <si>
    <t>Solution Time: 0,016 Seconds.</t>
  </si>
  <si>
    <t>Iterations: 3 Subproblems: 0</t>
  </si>
  <si>
    <t>Solver Options</t>
  </si>
  <si>
    <t>Max Time 100 sec,  Iterations 100, Precision 0,000001,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</si>
  <si>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</si>
  <si>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</si>
  <si>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</si>
  <si>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</si>
  <si>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</si>
  <si>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</si>
  <si>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</si>
  <si>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</si>
  <si>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</si>
  <si>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</si>
  <si>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</si>
  <si>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</si>
  <si>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</si>
  <si>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$H$13</t>
  </si>
  <si>
    <t>Коэффициенты целевой функции Значение целевой функции</t>
  </si>
  <si>
    <t>$F$12</t>
  </si>
  <si>
    <t>Contin</t>
  </si>
  <si>
    <t>$G$12</t>
  </si>
  <si>
    <t>$H$16</t>
  </si>
  <si>
    <t>Binding</t>
  </si>
  <si>
    <t>$H$17</t>
  </si>
  <si>
    <t>Not Binding</t>
  </si>
  <si>
    <t>$H$18</t>
  </si>
  <si>
    <t>Objective Cell (Max)</t>
  </si>
  <si>
    <t>$F$26</t>
  </si>
  <si>
    <t>Значение переменной y1</t>
  </si>
  <si>
    <t>$G$26</t>
  </si>
  <si>
    <t>Значение переменной y2</t>
  </si>
  <si>
    <t>$H$26</t>
  </si>
  <si>
    <t>Значение переменной y3</t>
  </si>
  <si>
    <t>Задание 3Б</t>
  </si>
  <si>
    <t>x1</t>
  </si>
  <si>
    <t>x2</t>
  </si>
  <si>
    <t>Вид</t>
  </si>
  <si>
    <t>Кирпич силикатный</t>
  </si>
  <si>
    <t>Кирпич красный</t>
  </si>
  <si>
    <t>Пиломатериалы</t>
  </si>
  <si>
    <t>Worksheet: [ЛР2 В22 Наривончик 351004.xlsx]Sheet1</t>
  </si>
  <si>
    <t>Report Created: 19.10.2025 18:29:33</t>
  </si>
  <si>
    <t>Значение переменной x1</t>
  </si>
  <si>
    <t>Значение переменной x2</t>
  </si>
  <si>
    <t>Кирпич силикатный лев.ч</t>
  </si>
  <si>
    <t>$H$16&lt;=$J$16</t>
  </si>
  <si>
    <t>Кирпич красный лев.ч</t>
  </si>
  <si>
    <t>$H$17&lt;=$J$17</t>
  </si>
  <si>
    <t>Пиломатериалы лев.ч</t>
  </si>
  <si>
    <t>$H$18&lt;=$J$18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</si>
  <si>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</si>
  <si>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</si>
  <si>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</si>
  <si>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</si>
  <si>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</si>
  <si>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</si>
  <si>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</si>
  <si>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</si>
  <si>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</si>
  <si>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</si>
  <si>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</si>
  <si>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</si>
  <si>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</si>
  <si>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</si>
  <si>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16.0 Limits Report</t>
  </si>
  <si>
    <t>Variable</t>
  </si>
  <si>
    <t>Lower</t>
  </si>
  <si>
    <t>Limit</t>
  </si>
  <si>
    <t>Result</t>
  </si>
  <si>
    <t>Upper</t>
  </si>
  <si>
    <t>Report Created: 19.10.2025 18:31:51</t>
  </si>
  <si>
    <t>Solution Time: 0 Seconds.</t>
  </si>
  <si>
    <t>&gt;=</t>
  </si>
  <si>
    <t>Report Created: 19.10.2025 19:38:08</t>
  </si>
  <si>
    <t>Iterations: 4 Subproblems: 0</t>
  </si>
  <si>
    <t>$I$27</t>
  </si>
  <si>
    <t>$I$30</t>
  </si>
  <si>
    <t>x1 лев.ч</t>
  </si>
  <si>
    <t>$I$30&gt;=$K$30</t>
  </si>
  <si>
    <t>$I$31</t>
  </si>
  <si>
    <t>x2 лев.ч</t>
  </si>
  <si>
    <t>$I$31&gt;=$K$31</t>
  </si>
  <si>
    <t>S</t>
  </si>
  <si>
    <t>Задание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</si>
</sst>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right"/>
    </xf>
    <xf numFmtId="0" fontId="2" fillId="0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3" fillId="0" borderId="0" xfId="0" applyFont="1" applyFill="1" applyBorder="1" applyAlignment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2" borderId="4" xfId="0" applyFill="1" applyBorder="1" applyAlignment="1">
      <alignment horizontal="center" vertical="center" wrapText="1"/>
    </xf>
    <xf numFmtId="0" fontId="4" fillId="0" borderId="0" xfId="0" applyFont="1"/>
    <xf numFmtId="0" fontId="0" fillId="0" borderId="16" xfId="0" applyFill="1" applyBorder="1" applyAlignment="1"/>
    <xf numFmtId="0" fontId="5" fillId="0" borderId="15" xfId="0" applyFont="1" applyFill="1" applyBorder="1" applyAlignment="1">
      <alignment horizontal="center"/>
    </xf>
    <xf numFmtId="0" fontId="0" fillId="0" borderId="17" xfId="0" applyFill="1" applyBorder="1" applyAlignment="1"/>
    <xf numFmtId="0" fontId="0" fillId="0" borderId="16" xfId="0" applyNumberFormat="1" applyFill="1" applyBorder="1" applyAlignment="1"/>
    <xf numFmtId="0" fontId="0" fillId="0" borderId="17" xfId="0" applyNumberFormat="1" applyFill="1" applyBorder="1" applyAlignment="1"/>
    <xf numFmtId="0" fontId="0" fillId="4" borderId="1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/>
    </xf>
    <xf numFmtId="0" fontId="5" fillId="0" borderId="2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NumberFormat="1" applyFill="1" applyBorder="1" applyAlignment="1">
      <alignment horizontal="center"/>
    </xf>
    <xf numFmtId="0" fontId="0" fillId="0" borderId="17" xfId="0" applyNumberFormat="1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7725-DF46-4EA2-B370-0E8A85618A82}">
  <dimension ref="A1:G29"/>
  <sheetViews>
    <sheetView showGridLines="0" topLeftCell="A7" workbookViewId="0">
      <selection activeCell="B14" sqref="B14:G29"/>
    </sheetView>
  </sheetViews>
  <sheetFormatPr defaultRowHeight="14.4" x14ac:dyDescent="0.3"/>
  <cols>
    <col min="1" max="1" width="2.33203125" customWidth="1"/>
    <col min="2" max="2" width="7.6640625" customWidth="1"/>
    <col min="3" max="3" width="55.33203125" bestFit="1" customWidth="1"/>
    <col min="4" max="4" width="12.6640625" style="54" bestFit="1" customWidth="1"/>
    <col min="5" max="5" width="19.33203125" style="54" customWidth="1"/>
    <col min="6" max="6" width="10.44140625" style="54" bestFit="1" customWidth="1"/>
    <col min="7" max="7" width="8" customWidth="1"/>
  </cols>
  <sheetData>
    <row r="1" spans="1:5" x14ac:dyDescent="0.3">
      <c r="A1" s="22" t="s">
        <v>16</v>
      </c>
    </row>
    <row r="2" spans="1:5" x14ac:dyDescent="0.3">
      <c r="A2" s="22" t="s">
        <v>61</v>
      </c>
    </row>
    <row r="3" spans="1:5" x14ac:dyDescent="0.3">
      <c r="A3" s="22" t="s">
        <v>91</v>
      </c>
    </row>
    <row r="4" spans="1:5" x14ac:dyDescent="0.3">
      <c r="A4" s="22" t="s">
        <v>17</v>
      </c>
    </row>
    <row r="5" spans="1:5" x14ac:dyDescent="0.3">
      <c r="A5" s="22" t="s">
        <v>18</v>
      </c>
    </row>
    <row r="6" spans="1:5" x14ac:dyDescent="0.3">
      <c r="A6" s="22"/>
      <c r="B6" t="s">
        <v>19</v>
      </c>
    </row>
    <row r="7" spans="1:5" x14ac:dyDescent="0.3">
      <c r="A7" s="22"/>
      <c r="B7" t="s">
        <v>92</v>
      </c>
    </row>
    <row r="8" spans="1:5" x14ac:dyDescent="0.3">
      <c r="A8" s="22"/>
      <c r="B8" t="s">
        <v>21</v>
      </c>
    </row>
    <row r="9" spans="1:5" x14ac:dyDescent="0.3">
      <c r="A9" s="22" t="s">
        <v>22</v>
      </c>
    </row>
    <row r="10" spans="1:5" x14ac:dyDescent="0.3">
      <c r="B10" t="s">
        <v>23</v>
      </c>
    </row>
    <row r="11" spans="1:5" x14ac:dyDescent="0.3">
      <c r="B11" t="s">
        <v>24</v>
      </c>
    </row>
    <row r="14" spans="1:5" ht="15" thickBot="1" x14ac:dyDescent="0.35">
      <c r="A14" t="s">
        <v>47</v>
      </c>
    </row>
    <row r="15" spans="1:5" ht="15" thickBot="1" x14ac:dyDescent="0.35">
      <c r="B15" s="24" t="s">
        <v>26</v>
      </c>
      <c r="C15" s="24" t="s">
        <v>27</v>
      </c>
      <c r="D15" s="24" t="s">
        <v>28</v>
      </c>
      <c r="E15" s="24" t="s">
        <v>29</v>
      </c>
    </row>
    <row r="16" spans="1:5" ht="15" thickBot="1" x14ac:dyDescent="0.35">
      <c r="B16" s="23" t="s">
        <v>37</v>
      </c>
      <c r="C16" s="23" t="s">
        <v>38</v>
      </c>
      <c r="D16" s="55">
        <v>0</v>
      </c>
      <c r="E16" s="55">
        <v>18350</v>
      </c>
    </row>
    <row r="19" spans="1:7" ht="15" thickBot="1" x14ac:dyDescent="0.35">
      <c r="A19" t="s">
        <v>30</v>
      </c>
    </row>
    <row r="20" spans="1:7" ht="15" thickBot="1" x14ac:dyDescent="0.35">
      <c r="B20" s="24" t="s">
        <v>26</v>
      </c>
      <c r="C20" s="24" t="s">
        <v>27</v>
      </c>
      <c r="D20" s="24" t="s">
        <v>28</v>
      </c>
      <c r="E20" s="24" t="s">
        <v>29</v>
      </c>
      <c r="F20" s="24" t="s">
        <v>31</v>
      </c>
    </row>
    <row r="21" spans="1:7" x14ac:dyDescent="0.3">
      <c r="B21" s="25" t="s">
        <v>39</v>
      </c>
      <c r="C21" s="25" t="s">
        <v>63</v>
      </c>
      <c r="D21" s="56">
        <v>0</v>
      </c>
      <c r="E21" s="56">
        <v>60</v>
      </c>
      <c r="F21" s="57" t="s">
        <v>40</v>
      </c>
    </row>
    <row r="22" spans="1:7" ht="15" thickBot="1" x14ac:dyDescent="0.35">
      <c r="B22" s="23" t="s">
        <v>41</v>
      </c>
      <c r="C22" s="23" t="s">
        <v>64</v>
      </c>
      <c r="D22" s="55">
        <v>0</v>
      </c>
      <c r="E22" s="55">
        <v>295</v>
      </c>
      <c r="F22" s="58" t="s">
        <v>40</v>
      </c>
    </row>
    <row r="25" spans="1:7" ht="15" thickBot="1" x14ac:dyDescent="0.35">
      <c r="A25" t="s">
        <v>32</v>
      </c>
    </row>
    <row r="26" spans="1:7" ht="15" thickBot="1" x14ac:dyDescent="0.35">
      <c r="B26" s="24" t="s">
        <v>26</v>
      </c>
      <c r="C26" s="24" t="s">
        <v>27</v>
      </c>
      <c r="D26" s="24" t="s">
        <v>33</v>
      </c>
      <c r="E26" s="24" t="s">
        <v>34</v>
      </c>
      <c r="F26" s="24" t="s">
        <v>35</v>
      </c>
      <c r="G26" s="24" t="s">
        <v>36</v>
      </c>
    </row>
    <row r="27" spans="1:7" x14ac:dyDescent="0.3">
      <c r="B27" s="25" t="s">
        <v>42</v>
      </c>
      <c r="C27" s="25" t="s">
        <v>65</v>
      </c>
      <c r="D27" s="56">
        <v>1305</v>
      </c>
      <c r="E27" s="57" t="s">
        <v>66</v>
      </c>
      <c r="F27" s="57" t="s">
        <v>45</v>
      </c>
      <c r="G27" s="25">
        <v>60</v>
      </c>
    </row>
    <row r="28" spans="1:7" x14ac:dyDescent="0.3">
      <c r="B28" s="25" t="s">
        <v>44</v>
      </c>
      <c r="C28" s="25" t="s">
        <v>67</v>
      </c>
      <c r="D28" s="56">
        <v>1245</v>
      </c>
      <c r="E28" s="57" t="s">
        <v>68</v>
      </c>
      <c r="F28" s="57" t="s">
        <v>43</v>
      </c>
      <c r="G28" s="25">
        <v>0</v>
      </c>
    </row>
    <row r="29" spans="1:7" ht="15" thickBot="1" x14ac:dyDescent="0.35">
      <c r="B29" s="23" t="s">
        <v>46</v>
      </c>
      <c r="C29" s="23" t="s">
        <v>69</v>
      </c>
      <c r="D29" s="55">
        <v>650</v>
      </c>
      <c r="E29" s="58" t="s">
        <v>70</v>
      </c>
      <c r="F29" s="58" t="s">
        <v>43</v>
      </c>
      <c r="G29" s="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EDDB-1D85-4F8B-8D62-AB5154860036}">
  <dimension ref="A1:H17"/>
  <sheetViews>
    <sheetView showGridLines="0" workbookViewId="0">
      <selection activeCell="B6" sqref="B6:H17"/>
    </sheetView>
  </sheetViews>
  <sheetFormatPr defaultRowHeight="14.4" x14ac:dyDescent="0.3"/>
  <cols>
    <col min="1" max="1" width="2.33203125" customWidth="1"/>
    <col min="2" max="2" width="8.6640625" customWidth="1"/>
    <col min="3" max="3" width="27.5546875" customWidth="1"/>
    <col min="4" max="4" width="8" customWidth="1"/>
    <col min="5" max="5" width="16.5546875" customWidth="1"/>
    <col min="6" max="6" width="11.88671875" customWidth="1"/>
    <col min="7" max="7" width="13.6640625" customWidth="1"/>
    <col min="8" max="8" width="9.21875" bestFit="1" customWidth="1"/>
  </cols>
  <sheetData>
    <row r="1" spans="1:8" x14ac:dyDescent="0.3">
      <c r="A1" s="22" t="s">
        <v>71</v>
      </c>
    </row>
    <row r="2" spans="1:8" x14ac:dyDescent="0.3">
      <c r="A2" s="22" t="s">
        <v>61</v>
      </c>
    </row>
    <row r="3" spans="1:8" x14ac:dyDescent="0.3">
      <c r="A3" s="22" t="s">
        <v>91</v>
      </c>
    </row>
    <row r="6" spans="1:8" ht="15" thickBot="1" x14ac:dyDescent="0.35">
      <c r="A6" t="s">
        <v>30</v>
      </c>
    </row>
    <row r="7" spans="1:8" x14ac:dyDescent="0.3">
      <c r="B7" s="52"/>
      <c r="C7" s="52"/>
      <c r="D7" s="52" t="s">
        <v>72</v>
      </c>
      <c r="E7" s="52" t="s">
        <v>74</v>
      </c>
      <c r="F7" s="52" t="s">
        <v>76</v>
      </c>
      <c r="G7" s="52" t="s">
        <v>78</v>
      </c>
      <c r="H7" s="52" t="s">
        <v>78</v>
      </c>
    </row>
    <row r="8" spans="1:8" ht="15" thickBot="1" x14ac:dyDescent="0.35">
      <c r="B8" s="53" t="s">
        <v>26</v>
      </c>
      <c r="C8" s="53" t="s">
        <v>27</v>
      </c>
      <c r="D8" s="53" t="s">
        <v>73</v>
      </c>
      <c r="E8" s="53" t="s">
        <v>75</v>
      </c>
      <c r="F8" s="53" t="s">
        <v>77</v>
      </c>
      <c r="G8" s="53" t="s">
        <v>79</v>
      </c>
      <c r="H8" s="53" t="s">
        <v>80</v>
      </c>
    </row>
    <row r="9" spans="1:8" x14ac:dyDescent="0.3">
      <c r="B9" s="25" t="s">
        <v>39</v>
      </c>
      <c r="C9" s="25" t="s">
        <v>63</v>
      </c>
      <c r="D9" s="25">
        <v>60</v>
      </c>
      <c r="E9" s="25">
        <v>0</v>
      </c>
      <c r="F9" s="25">
        <v>60</v>
      </c>
      <c r="G9" s="25">
        <v>40</v>
      </c>
      <c r="H9" s="25">
        <v>34.999999999999972</v>
      </c>
    </row>
    <row r="10" spans="1:8" ht="15" thickBot="1" x14ac:dyDescent="0.35">
      <c r="B10" s="23" t="s">
        <v>41</v>
      </c>
      <c r="C10" s="23" t="s">
        <v>64</v>
      </c>
      <c r="D10" s="23">
        <v>295</v>
      </c>
      <c r="E10" s="23">
        <v>0</v>
      </c>
      <c r="F10" s="23">
        <v>50</v>
      </c>
      <c r="G10" s="23">
        <v>69.999999999999972</v>
      </c>
      <c r="H10" s="23">
        <v>20</v>
      </c>
    </row>
    <row r="12" spans="1:8" ht="15" thickBot="1" x14ac:dyDescent="0.35">
      <c r="A12" t="s">
        <v>32</v>
      </c>
    </row>
    <row r="13" spans="1:8" x14ac:dyDescent="0.3">
      <c r="B13" s="52"/>
      <c r="C13" s="52"/>
      <c r="D13" s="52" t="s">
        <v>72</v>
      </c>
      <c r="E13" s="52" t="s">
        <v>81</v>
      </c>
      <c r="F13" s="52" t="s">
        <v>83</v>
      </c>
      <c r="G13" s="52" t="s">
        <v>78</v>
      </c>
      <c r="H13" s="52" t="s">
        <v>78</v>
      </c>
    </row>
    <row r="14" spans="1:8" ht="15" thickBot="1" x14ac:dyDescent="0.35">
      <c r="B14" s="53" t="s">
        <v>26</v>
      </c>
      <c r="C14" s="53" t="s">
        <v>27</v>
      </c>
      <c r="D14" s="53" t="s">
        <v>73</v>
      </c>
      <c r="E14" s="53" t="s">
        <v>82</v>
      </c>
      <c r="F14" s="53" t="s">
        <v>84</v>
      </c>
      <c r="G14" s="53" t="s">
        <v>79</v>
      </c>
      <c r="H14" s="53" t="s">
        <v>80</v>
      </c>
    </row>
    <row r="15" spans="1:8" x14ac:dyDescent="0.3">
      <c r="B15" s="25" t="s">
        <v>42</v>
      </c>
      <c r="C15" s="25" t="s">
        <v>65</v>
      </c>
      <c r="D15" s="25">
        <v>1305</v>
      </c>
      <c r="E15" s="25">
        <v>0</v>
      </c>
      <c r="F15" s="25">
        <v>1365</v>
      </c>
      <c r="G15" s="25">
        <v>1E+30</v>
      </c>
      <c r="H15" s="25">
        <v>60.000000000000071</v>
      </c>
    </row>
    <row r="16" spans="1:8" x14ac:dyDescent="0.3">
      <c r="B16" s="25" t="s">
        <v>44</v>
      </c>
      <c r="C16" s="25" t="s">
        <v>67</v>
      </c>
      <c r="D16" s="25">
        <v>1245</v>
      </c>
      <c r="E16" s="25">
        <v>7.7777777777777786</v>
      </c>
      <c r="F16" s="25">
        <v>1245</v>
      </c>
      <c r="G16" s="25">
        <v>49.090909090909143</v>
      </c>
      <c r="H16" s="25">
        <v>269.99999999999977</v>
      </c>
    </row>
    <row r="17" spans="2:8" ht="15" thickBot="1" x14ac:dyDescent="0.35">
      <c r="B17" s="23" t="s">
        <v>46</v>
      </c>
      <c r="C17" s="23" t="s">
        <v>69</v>
      </c>
      <c r="D17" s="23">
        <v>650</v>
      </c>
      <c r="E17" s="23">
        <v>13.333333333333334</v>
      </c>
      <c r="F17" s="23">
        <v>650</v>
      </c>
      <c r="G17" s="23">
        <v>179.99999999999997</v>
      </c>
      <c r="H17" s="23">
        <v>180.00000000000011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FB47-DEAF-45FD-96F9-042A5B058109}">
  <dimension ref="A1:J14"/>
  <sheetViews>
    <sheetView showGridLines="0" workbookViewId="0">
      <selection activeCell="A5" sqref="A5:J14"/>
    </sheetView>
  </sheetViews>
  <sheetFormatPr defaultRowHeight="14.4" x14ac:dyDescent="0.3"/>
  <cols>
    <col min="1" max="1" width="2.33203125" customWidth="1"/>
    <col min="2" max="2" width="6.21875" bestFit="1" customWidth="1"/>
    <col min="3" max="3" width="55.33203125" bestFit="1" customWidth="1"/>
    <col min="4" max="4" width="6" bestFit="1" customWidth="1"/>
    <col min="5" max="5" width="2.33203125" customWidth="1"/>
    <col min="6" max="6" width="6.109375" bestFit="1" customWidth="1"/>
    <col min="7" max="7" width="9" bestFit="1" customWidth="1"/>
    <col min="8" max="8" width="2.33203125" customWidth="1"/>
    <col min="9" max="9" width="6.21875" bestFit="1" customWidth="1"/>
    <col min="10" max="10" width="9" bestFit="1" customWidth="1"/>
  </cols>
  <sheetData>
    <row r="1" spans="1:10" x14ac:dyDescent="0.3">
      <c r="A1" s="22" t="s">
        <v>85</v>
      </c>
    </row>
    <row r="2" spans="1:10" x14ac:dyDescent="0.3">
      <c r="A2" s="22" t="s">
        <v>61</v>
      </c>
    </row>
    <row r="3" spans="1:10" x14ac:dyDescent="0.3">
      <c r="A3" s="22" t="s">
        <v>91</v>
      </c>
    </row>
    <row r="5" spans="1:10" ht="15" thickBot="1" x14ac:dyDescent="0.35"/>
    <row r="6" spans="1:10" x14ac:dyDescent="0.3">
      <c r="B6" s="52"/>
      <c r="C6" s="52" t="s">
        <v>76</v>
      </c>
      <c r="D6" s="52"/>
    </row>
    <row r="7" spans="1:10" ht="15" thickBot="1" x14ac:dyDescent="0.35">
      <c r="B7" s="53" t="s">
        <v>26</v>
      </c>
      <c r="C7" s="53" t="s">
        <v>27</v>
      </c>
      <c r="D7" s="53" t="s">
        <v>73</v>
      </c>
    </row>
    <row r="8" spans="1:10" ht="15" thickBot="1" x14ac:dyDescent="0.35">
      <c r="B8" s="23" t="s">
        <v>37</v>
      </c>
      <c r="C8" s="23" t="s">
        <v>38</v>
      </c>
      <c r="D8" s="26">
        <v>18350</v>
      </c>
    </row>
    <row r="10" spans="1:10" ht="15" thickBot="1" x14ac:dyDescent="0.35"/>
    <row r="11" spans="1:10" x14ac:dyDescent="0.3">
      <c r="B11" s="52"/>
      <c r="C11" s="52" t="s">
        <v>86</v>
      </c>
      <c r="D11" s="52"/>
      <c r="F11" s="52" t="s">
        <v>87</v>
      </c>
      <c r="G11" s="52" t="s">
        <v>76</v>
      </c>
      <c r="I11" s="52" t="s">
        <v>90</v>
      </c>
      <c r="J11" s="52" t="s">
        <v>76</v>
      </c>
    </row>
    <row r="12" spans="1:10" ht="15" thickBot="1" x14ac:dyDescent="0.35">
      <c r="B12" s="53" t="s">
        <v>26</v>
      </c>
      <c r="C12" s="53" t="s">
        <v>27</v>
      </c>
      <c r="D12" s="53" t="s">
        <v>73</v>
      </c>
      <c r="F12" s="53" t="s">
        <v>88</v>
      </c>
      <c r="G12" s="53" t="s">
        <v>89</v>
      </c>
      <c r="I12" s="53" t="s">
        <v>88</v>
      </c>
      <c r="J12" s="53" t="s">
        <v>89</v>
      </c>
    </row>
    <row r="13" spans="1:10" x14ac:dyDescent="0.3">
      <c r="B13" s="25" t="s">
        <v>39</v>
      </c>
      <c r="C13" s="25" t="s">
        <v>63</v>
      </c>
      <c r="D13" s="27">
        <v>60</v>
      </c>
      <c r="F13" s="27">
        <v>0</v>
      </c>
      <c r="G13" s="27">
        <v>14750</v>
      </c>
      <c r="I13" s="27">
        <v>60</v>
      </c>
      <c r="J13" s="27">
        <v>18350</v>
      </c>
    </row>
    <row r="14" spans="1:10" ht="15" thickBot="1" x14ac:dyDescent="0.35">
      <c r="B14" s="23" t="s">
        <v>41</v>
      </c>
      <c r="C14" s="23" t="s">
        <v>64</v>
      </c>
      <c r="D14" s="26">
        <v>295</v>
      </c>
      <c r="F14" s="26">
        <v>0</v>
      </c>
      <c r="G14" s="26">
        <v>3600</v>
      </c>
      <c r="I14" s="26">
        <v>295</v>
      </c>
      <c r="J14" s="26">
        <v>18350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86D1-58CA-4EFC-99DE-329FA25BA862}">
  <dimension ref="A1:G29"/>
  <sheetViews>
    <sheetView showGridLines="0" topLeftCell="A10" workbookViewId="0"/>
  </sheetViews>
  <sheetFormatPr defaultRowHeight="14.4" x14ac:dyDescent="0.3"/>
  <cols>
    <col min="1" max="1" width="2.33203125" customWidth="1"/>
    <col min="2" max="2" width="5.5546875" bestFit="1" customWidth="1"/>
    <col min="3" max="3" width="55.33203125" bestFit="1" customWidth="1"/>
    <col min="4" max="4" width="12.6640625" bestFit="1" customWidth="1"/>
    <col min="5" max="5" width="12.5546875" bestFit="1" customWidth="1"/>
    <col min="6" max="6" width="7" bestFit="1" customWidth="1"/>
    <col min="7" max="7" width="5.33203125" bestFit="1" customWidth="1"/>
  </cols>
  <sheetData>
    <row r="1" spans="1:5" x14ac:dyDescent="0.3">
      <c r="A1" s="22" t="s">
        <v>103</v>
      </c>
    </row>
    <row r="2" spans="1:5" x14ac:dyDescent="0.3">
      <c r="A2" s="22" t="s">
        <v>61</v>
      </c>
    </row>
    <row r="3" spans="1:5" x14ac:dyDescent="0.3">
      <c r="A3" s="22" t="s">
        <v>94</v>
      </c>
    </row>
    <row r="4" spans="1:5" x14ac:dyDescent="0.3">
      <c r="A4" s="22" t="s">
        <v>17</v>
      </c>
    </row>
    <row r="5" spans="1:5" x14ac:dyDescent="0.3">
      <c r="A5" s="22" t="s">
        <v>18</v>
      </c>
    </row>
    <row r="6" spans="1:5" x14ac:dyDescent="0.3">
      <c r="A6" s="22"/>
      <c r="B6" t="s">
        <v>19</v>
      </c>
    </row>
    <row r="7" spans="1:5" x14ac:dyDescent="0.3">
      <c r="A7" s="22"/>
      <c r="B7" t="s">
        <v>20</v>
      </c>
    </row>
    <row r="8" spans="1:5" x14ac:dyDescent="0.3">
      <c r="A8" s="22"/>
      <c r="B8" t="s">
        <v>95</v>
      </c>
    </row>
    <row r="9" spans="1:5" x14ac:dyDescent="0.3">
      <c r="A9" s="22" t="s">
        <v>22</v>
      </c>
    </row>
    <row r="10" spans="1:5" x14ac:dyDescent="0.3">
      <c r="B10" t="s">
        <v>23</v>
      </c>
    </row>
    <row r="11" spans="1:5" x14ac:dyDescent="0.3">
      <c r="B11" t="s">
        <v>24</v>
      </c>
    </row>
    <row r="14" spans="1:5" ht="15" thickBot="1" x14ac:dyDescent="0.35">
      <c r="A14" t="s">
        <v>25</v>
      </c>
    </row>
    <row r="15" spans="1:5" ht="15" thickBot="1" x14ac:dyDescent="0.35">
      <c r="B15" s="24" t="s">
        <v>26</v>
      </c>
      <c r="C15" s="24" t="s">
        <v>27</v>
      </c>
      <c r="D15" s="24" t="s">
        <v>28</v>
      </c>
      <c r="E15" s="24" t="s">
        <v>29</v>
      </c>
    </row>
    <row r="16" spans="1:5" ht="15" thickBot="1" x14ac:dyDescent="0.35">
      <c r="B16" s="23" t="s">
        <v>96</v>
      </c>
      <c r="C16" s="23" t="s">
        <v>38</v>
      </c>
      <c r="D16" s="26">
        <v>0</v>
      </c>
      <c r="E16" s="26">
        <v>18349.999999999996</v>
      </c>
    </row>
    <row r="19" spans="1:7" ht="15" thickBot="1" x14ac:dyDescent="0.35">
      <c r="A19" t="s">
        <v>30</v>
      </c>
    </row>
    <row r="20" spans="1:7" ht="15" thickBot="1" x14ac:dyDescent="0.35">
      <c r="B20" s="24" t="s">
        <v>26</v>
      </c>
      <c r="C20" s="24" t="s">
        <v>27</v>
      </c>
      <c r="D20" s="24" t="s">
        <v>28</v>
      </c>
      <c r="E20" s="24" t="s">
        <v>29</v>
      </c>
      <c r="F20" s="24" t="s">
        <v>31</v>
      </c>
    </row>
    <row r="21" spans="1:7" x14ac:dyDescent="0.3">
      <c r="B21" s="25" t="s">
        <v>48</v>
      </c>
      <c r="C21" s="25" t="s">
        <v>49</v>
      </c>
      <c r="D21" s="27">
        <v>0</v>
      </c>
      <c r="E21" s="27">
        <v>0</v>
      </c>
      <c r="F21" s="25" t="s">
        <v>40</v>
      </c>
    </row>
    <row r="22" spans="1:7" x14ac:dyDescent="0.3">
      <c r="B22" s="25" t="s">
        <v>50</v>
      </c>
      <c r="C22" s="25" t="s">
        <v>51</v>
      </c>
      <c r="D22" s="27">
        <v>0</v>
      </c>
      <c r="E22" s="27">
        <v>7.7777777777777732</v>
      </c>
      <c r="F22" s="25" t="s">
        <v>40</v>
      </c>
    </row>
    <row r="23" spans="1:7" ht="15" thickBot="1" x14ac:dyDescent="0.35">
      <c r="B23" s="23" t="s">
        <v>52</v>
      </c>
      <c r="C23" s="23" t="s">
        <v>53</v>
      </c>
      <c r="D23" s="26">
        <v>0</v>
      </c>
      <c r="E23" s="26">
        <v>13.333333333333334</v>
      </c>
      <c r="F23" s="23" t="s">
        <v>40</v>
      </c>
    </row>
    <row r="26" spans="1:7" ht="15" thickBot="1" x14ac:dyDescent="0.35">
      <c r="A26" t="s">
        <v>32</v>
      </c>
    </row>
    <row r="27" spans="1:7" ht="15" thickBot="1" x14ac:dyDescent="0.35">
      <c r="B27" s="24" t="s">
        <v>26</v>
      </c>
      <c r="C27" s="24" t="s">
        <v>27</v>
      </c>
      <c r="D27" s="24" t="s">
        <v>33</v>
      </c>
      <c r="E27" s="24" t="s">
        <v>34</v>
      </c>
      <c r="F27" s="24" t="s">
        <v>35</v>
      </c>
      <c r="G27" s="24" t="s">
        <v>36</v>
      </c>
    </row>
    <row r="28" spans="1:7" x14ac:dyDescent="0.3">
      <c r="B28" s="25" t="s">
        <v>97</v>
      </c>
      <c r="C28" s="25" t="s">
        <v>98</v>
      </c>
      <c r="D28" s="27">
        <v>59.999999999999979</v>
      </c>
      <c r="E28" s="25" t="s">
        <v>99</v>
      </c>
      <c r="F28" s="25" t="s">
        <v>43</v>
      </c>
      <c r="G28" s="27">
        <v>0</v>
      </c>
    </row>
    <row r="29" spans="1:7" ht="15" thickBot="1" x14ac:dyDescent="0.35">
      <c r="B29" s="23" t="s">
        <v>100</v>
      </c>
      <c r="C29" s="23" t="s">
        <v>101</v>
      </c>
      <c r="D29" s="26">
        <v>49.999999999999986</v>
      </c>
      <c r="E29" s="23" t="s">
        <v>102</v>
      </c>
      <c r="F29" s="23" t="s">
        <v>43</v>
      </c>
      <c r="G29" s="2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5A30-D8F8-43C1-BC38-C3EA0D12918C}">
  <dimension ref="A1:H17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23.109375" bestFit="1" customWidth="1"/>
    <col min="4" max="4" width="12" bestFit="1" customWidth="1"/>
    <col min="5" max="5" width="8.33203125" bestFit="1" customWidth="1"/>
    <col min="6" max="6" width="10.109375" bestFit="1" customWidth="1"/>
    <col min="7" max="7" width="12" bestFit="1" customWidth="1"/>
    <col min="8" max="8" width="9.21875" bestFit="1" customWidth="1"/>
  </cols>
  <sheetData>
    <row r="1" spans="1:8" x14ac:dyDescent="0.3">
      <c r="A1" s="22" t="s">
        <v>71</v>
      </c>
    </row>
    <row r="2" spans="1:8" x14ac:dyDescent="0.3">
      <c r="A2" s="22" t="s">
        <v>61</v>
      </c>
    </row>
    <row r="3" spans="1:8" x14ac:dyDescent="0.3">
      <c r="A3" s="22" t="s">
        <v>94</v>
      </c>
    </row>
    <row r="6" spans="1:8" ht="15" thickBot="1" x14ac:dyDescent="0.35">
      <c r="A6" t="s">
        <v>30</v>
      </c>
    </row>
    <row r="7" spans="1:8" x14ac:dyDescent="0.3">
      <c r="B7" s="52"/>
      <c r="C7" s="52"/>
      <c r="D7" s="52" t="s">
        <v>72</v>
      </c>
      <c r="E7" s="52" t="s">
        <v>74</v>
      </c>
      <c r="F7" s="52" t="s">
        <v>76</v>
      </c>
      <c r="G7" s="52" t="s">
        <v>78</v>
      </c>
      <c r="H7" s="52" t="s">
        <v>78</v>
      </c>
    </row>
    <row r="8" spans="1:8" ht="15" thickBot="1" x14ac:dyDescent="0.35">
      <c r="B8" s="53" t="s">
        <v>26</v>
      </c>
      <c r="C8" s="53" t="s">
        <v>27</v>
      </c>
      <c r="D8" s="53" t="s">
        <v>73</v>
      </c>
      <c r="E8" s="53" t="s">
        <v>75</v>
      </c>
      <c r="F8" s="53" t="s">
        <v>77</v>
      </c>
      <c r="G8" s="53" t="s">
        <v>79</v>
      </c>
      <c r="H8" s="53" t="s">
        <v>80</v>
      </c>
    </row>
    <row r="9" spans="1:8" x14ac:dyDescent="0.3">
      <c r="B9" s="25" t="s">
        <v>48</v>
      </c>
      <c r="C9" s="25" t="s">
        <v>49</v>
      </c>
      <c r="D9" s="25">
        <v>0</v>
      </c>
      <c r="E9" s="25">
        <v>60.000000000000092</v>
      </c>
      <c r="F9" s="25">
        <v>1365</v>
      </c>
      <c r="G9" s="25">
        <v>1E+30</v>
      </c>
      <c r="H9" s="25">
        <v>60.000000000000092</v>
      </c>
    </row>
    <row r="10" spans="1:8" x14ac:dyDescent="0.3">
      <c r="B10" s="25" t="s">
        <v>50</v>
      </c>
      <c r="C10" s="25" t="s">
        <v>51</v>
      </c>
      <c r="D10" s="25">
        <v>7.7777777777777732</v>
      </c>
      <c r="E10" s="25">
        <v>0</v>
      </c>
      <c r="F10" s="25">
        <v>1245</v>
      </c>
      <c r="G10" s="25">
        <v>49.090909090909165</v>
      </c>
      <c r="H10" s="25">
        <v>270</v>
      </c>
    </row>
    <row r="11" spans="1:8" ht="15" thickBot="1" x14ac:dyDescent="0.35">
      <c r="B11" s="23" t="s">
        <v>52</v>
      </c>
      <c r="C11" s="23" t="s">
        <v>53</v>
      </c>
      <c r="D11" s="23">
        <v>13.333333333333334</v>
      </c>
      <c r="E11" s="23">
        <v>0</v>
      </c>
      <c r="F11" s="23">
        <v>650</v>
      </c>
      <c r="G11" s="23">
        <v>180</v>
      </c>
      <c r="H11" s="23">
        <v>180.00000000000017</v>
      </c>
    </row>
    <row r="13" spans="1:8" ht="15" thickBot="1" x14ac:dyDescent="0.35">
      <c r="A13" t="s">
        <v>32</v>
      </c>
    </row>
    <row r="14" spans="1:8" x14ac:dyDescent="0.3">
      <c r="B14" s="52"/>
      <c r="C14" s="52"/>
      <c r="D14" s="52" t="s">
        <v>72</v>
      </c>
      <c r="E14" s="52" t="s">
        <v>81</v>
      </c>
      <c r="F14" s="52" t="s">
        <v>83</v>
      </c>
      <c r="G14" s="52" t="s">
        <v>78</v>
      </c>
      <c r="H14" s="52" t="s">
        <v>78</v>
      </c>
    </row>
    <row r="15" spans="1:8" ht="15" thickBot="1" x14ac:dyDescent="0.35">
      <c r="B15" s="53" t="s">
        <v>26</v>
      </c>
      <c r="C15" s="53" t="s">
        <v>27</v>
      </c>
      <c r="D15" s="53" t="s">
        <v>73</v>
      </c>
      <c r="E15" s="53" t="s">
        <v>82</v>
      </c>
      <c r="F15" s="53" t="s">
        <v>84</v>
      </c>
      <c r="G15" s="53" t="s">
        <v>79</v>
      </c>
      <c r="H15" s="53" t="s">
        <v>80</v>
      </c>
    </row>
    <row r="16" spans="1:8" x14ac:dyDescent="0.3">
      <c r="B16" s="25" t="s">
        <v>97</v>
      </c>
      <c r="C16" s="25" t="s">
        <v>98</v>
      </c>
      <c r="D16" s="25">
        <v>59.999999999999979</v>
      </c>
      <c r="E16" s="25">
        <v>60.000000000000007</v>
      </c>
      <c r="F16" s="25">
        <v>60</v>
      </c>
      <c r="G16" s="25">
        <v>40</v>
      </c>
      <c r="H16" s="25">
        <v>34.999999999999979</v>
      </c>
    </row>
    <row r="17" spans="2:8" ht="15" thickBot="1" x14ac:dyDescent="0.35">
      <c r="B17" s="23" t="s">
        <v>100</v>
      </c>
      <c r="C17" s="23" t="s">
        <v>101</v>
      </c>
      <c r="D17" s="23">
        <v>49.999999999999986</v>
      </c>
      <c r="E17" s="23">
        <v>295</v>
      </c>
      <c r="F17" s="23">
        <v>50</v>
      </c>
      <c r="G17" s="23">
        <v>69.999999999999886</v>
      </c>
      <c r="H17" s="23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A685-B850-4272-A184-C48B01B99DB5}">
  <dimension ref="A1:J15"/>
  <sheetViews>
    <sheetView showGridLines="0" workbookViewId="0">
      <selection activeCell="K20" sqref="K20"/>
    </sheetView>
  </sheetViews>
  <sheetFormatPr defaultRowHeight="14.4" x14ac:dyDescent="0.3"/>
  <cols>
    <col min="1" max="1" width="2.33203125" customWidth="1"/>
    <col min="2" max="2" width="6.21875" bestFit="1" customWidth="1"/>
    <col min="3" max="3" width="55.33203125" bestFit="1" customWidth="1"/>
    <col min="4" max="4" width="12" bestFit="1" customWidth="1"/>
    <col min="5" max="5" width="2.33203125" customWidth="1"/>
    <col min="6" max="6" width="12" bestFit="1" customWidth="1"/>
    <col min="7" max="7" width="9" bestFit="1" customWidth="1"/>
    <col min="8" max="8" width="2.33203125" customWidth="1"/>
    <col min="9" max="9" width="6.21875" bestFit="1" customWidth="1"/>
    <col min="10" max="10" width="9" bestFit="1" customWidth="1"/>
  </cols>
  <sheetData>
    <row r="1" spans="1:10" x14ac:dyDescent="0.3">
      <c r="A1" s="22" t="s">
        <v>85</v>
      </c>
    </row>
    <row r="2" spans="1:10" x14ac:dyDescent="0.3">
      <c r="A2" s="22" t="s">
        <v>61</v>
      </c>
    </row>
    <row r="3" spans="1:10" x14ac:dyDescent="0.3">
      <c r="A3" s="22" t="s">
        <v>94</v>
      </c>
    </row>
    <row r="5" spans="1:10" ht="15" thickBot="1" x14ac:dyDescent="0.35"/>
    <row r="6" spans="1:10" x14ac:dyDescent="0.3">
      <c r="B6" s="52"/>
      <c r="C6" s="52" t="s">
        <v>76</v>
      </c>
      <c r="D6" s="52"/>
    </row>
    <row r="7" spans="1:10" ht="15" thickBot="1" x14ac:dyDescent="0.35">
      <c r="B7" s="53" t="s">
        <v>26</v>
      </c>
      <c r="C7" s="53" t="s">
        <v>27</v>
      </c>
      <c r="D7" s="53" t="s">
        <v>73</v>
      </c>
    </row>
    <row r="8" spans="1:10" ht="15" thickBot="1" x14ac:dyDescent="0.35">
      <c r="B8" s="23" t="s">
        <v>96</v>
      </c>
      <c r="C8" s="23" t="s">
        <v>38</v>
      </c>
      <c r="D8" s="26">
        <v>18349.999999999996</v>
      </c>
    </row>
    <row r="10" spans="1:10" ht="15" thickBot="1" x14ac:dyDescent="0.35"/>
    <row r="11" spans="1:10" x14ac:dyDescent="0.3">
      <c r="B11" s="52"/>
      <c r="C11" s="52" t="s">
        <v>86</v>
      </c>
      <c r="D11" s="52"/>
      <c r="F11" s="52" t="s">
        <v>87</v>
      </c>
      <c r="G11" s="52" t="s">
        <v>76</v>
      </c>
      <c r="I11" s="52" t="s">
        <v>90</v>
      </c>
      <c r="J11" s="52" t="s">
        <v>76</v>
      </c>
    </row>
    <row r="12" spans="1:10" ht="15" thickBot="1" x14ac:dyDescent="0.35">
      <c r="B12" s="53" t="s">
        <v>26</v>
      </c>
      <c r="C12" s="53" t="s">
        <v>27</v>
      </c>
      <c r="D12" s="53" t="s">
        <v>73</v>
      </c>
      <c r="F12" s="53" t="s">
        <v>88</v>
      </c>
      <c r="G12" s="53" t="s">
        <v>89</v>
      </c>
      <c r="I12" s="53" t="s">
        <v>88</v>
      </c>
      <c r="J12" s="53" t="s">
        <v>89</v>
      </c>
    </row>
    <row r="13" spans="1:10" x14ac:dyDescent="0.3">
      <c r="B13" s="25" t="s">
        <v>48</v>
      </c>
      <c r="C13" s="25" t="s">
        <v>49</v>
      </c>
      <c r="D13" s="27">
        <v>0</v>
      </c>
      <c r="F13" s="27">
        <v>4.7369515717340018E-15</v>
      </c>
      <c r="G13" s="27">
        <v>18350.000000000004</v>
      </c>
      <c r="I13" s="25" t="e">
        <v>#N/A</v>
      </c>
      <c r="J13" s="25" t="e">
        <v>#N/A</v>
      </c>
    </row>
    <row r="14" spans="1:10" x14ac:dyDescent="0.3">
      <c r="B14" s="25" t="s">
        <v>50</v>
      </c>
      <c r="C14" s="25" t="s">
        <v>51</v>
      </c>
      <c r="D14" s="27">
        <v>7.7777777777777732</v>
      </c>
      <c r="F14" s="27">
        <v>7.7777777777777759</v>
      </c>
      <c r="G14" s="27">
        <v>18350</v>
      </c>
      <c r="I14" s="25" t="e">
        <v>#N/A</v>
      </c>
      <c r="J14" s="25" t="e">
        <v>#N/A</v>
      </c>
    </row>
    <row r="15" spans="1:10" ht="15" thickBot="1" x14ac:dyDescent="0.35">
      <c r="B15" s="23" t="s">
        <v>52</v>
      </c>
      <c r="C15" s="23" t="s">
        <v>53</v>
      </c>
      <c r="D15" s="26">
        <v>13.333333333333334</v>
      </c>
      <c r="F15" s="26">
        <v>13.333333333333357</v>
      </c>
      <c r="G15" s="26">
        <v>18350.000000000011</v>
      </c>
      <c r="I15" s="23" t="e">
        <v>#N/A</v>
      </c>
      <c r="J15" s="23" t="e"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X82"/>
  <sheetViews>
    <sheetView tabSelected="1" topLeftCell="B14" zoomScale="105" zoomScaleNormal="100" workbookViewId="0">
      <selection activeCell="N26" sqref="N26"/>
    </sheetView>
  </sheetViews>
  <sheetFormatPr defaultRowHeight="14.4" x14ac:dyDescent="0.3"/>
  <cols>
    <col min="2" max="3" width="10.77734375" customWidth="1"/>
    <col min="4" max="4" width="14.5546875" customWidth="1"/>
    <col min="5" max="5" width="33.44140625" customWidth="1"/>
    <col min="6" max="6" width="13.6640625" customWidth="1"/>
    <col min="7" max="7" width="12.77734375" customWidth="1"/>
    <col min="8" max="8" width="18" customWidth="1"/>
    <col min="9" max="9" width="17.44140625" customWidth="1"/>
    <col min="10" max="10" width="17.88671875" customWidth="1"/>
    <col min="11" max="33" width="10.77734375" customWidth="1"/>
  </cols>
  <sheetData>
    <row r="2" spans="4:24" x14ac:dyDescent="0.3">
      <c r="E2" s="48" t="s">
        <v>0</v>
      </c>
      <c r="F2" s="49"/>
      <c r="G2" s="50"/>
    </row>
    <row r="3" spans="4:24" x14ac:dyDescent="0.3">
      <c r="E3" s="42">
        <v>351004</v>
      </c>
      <c r="F3" s="43"/>
      <c r="G3" s="44"/>
      <c r="H3" s="3"/>
    </row>
    <row r="4" spans="4:24" x14ac:dyDescent="0.3">
      <c r="E4" s="45" t="s">
        <v>1</v>
      </c>
      <c r="F4" s="46"/>
      <c r="G4" s="47"/>
    </row>
    <row r="8" spans="4:24" x14ac:dyDescent="0.3">
      <c r="E8" s="41" t="s">
        <v>54</v>
      </c>
      <c r="F8" s="41"/>
      <c r="G8" s="41"/>
      <c r="H8" s="41"/>
      <c r="I8" s="41"/>
      <c r="J8" s="4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4:24" x14ac:dyDescent="0.3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4:24" x14ac:dyDescent="0.3">
      <c r="D10" s="4"/>
      <c r="E10" s="12"/>
      <c r="F10" s="51" t="s">
        <v>2</v>
      </c>
      <c r="G10" s="51"/>
      <c r="H10" s="12"/>
      <c r="I10" s="12"/>
      <c r="J10" s="1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4:24" x14ac:dyDescent="0.3">
      <c r="D11" s="4"/>
      <c r="E11" s="16" t="s">
        <v>12</v>
      </c>
      <c r="F11" s="13" t="s">
        <v>55</v>
      </c>
      <c r="G11" s="13" t="s">
        <v>56</v>
      </c>
      <c r="H11" s="12"/>
      <c r="I11" s="12"/>
      <c r="J11" s="1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4:24" ht="31.2" customHeight="1" x14ac:dyDescent="0.3">
      <c r="D12" s="4"/>
      <c r="E12" s="16" t="s">
        <v>13</v>
      </c>
      <c r="F12" s="17">
        <v>60</v>
      </c>
      <c r="G12" s="18">
        <v>295</v>
      </c>
      <c r="H12" s="21" t="s">
        <v>15</v>
      </c>
      <c r="I12" s="20"/>
      <c r="J12" s="1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4:24" ht="24" customHeight="1" x14ac:dyDescent="0.3">
      <c r="D13" s="4"/>
      <c r="E13" s="16" t="s">
        <v>14</v>
      </c>
      <c r="F13" s="13">
        <v>60</v>
      </c>
      <c r="G13" s="13">
        <v>50</v>
      </c>
      <c r="H13" s="19">
        <f>SUMPRODUCT(F12:G12,F13:G13)</f>
        <v>18350</v>
      </c>
      <c r="K13" s="11"/>
      <c r="L13" s="11"/>
      <c r="M13" s="11"/>
      <c r="N13" s="11"/>
      <c r="O13" s="11"/>
      <c r="P13" s="4"/>
      <c r="Q13" s="4"/>
      <c r="R13" s="4"/>
      <c r="S13" s="4"/>
      <c r="T13" s="4"/>
      <c r="U13" s="4"/>
      <c r="V13" s="4"/>
      <c r="W13" s="4"/>
      <c r="X13" s="4"/>
    </row>
    <row r="14" spans="4:24" x14ac:dyDescent="0.3">
      <c r="D14" s="4"/>
      <c r="E14" s="13"/>
      <c r="F14" s="37" t="s">
        <v>7</v>
      </c>
      <c r="G14" s="38"/>
      <c r="H14" s="38"/>
      <c r="I14" s="38"/>
      <c r="J14" s="39"/>
      <c r="K14" s="10"/>
      <c r="L14" s="10"/>
      <c r="M14" s="10"/>
      <c r="N14" s="10"/>
      <c r="O14" s="10"/>
      <c r="P14" s="4"/>
      <c r="Q14" s="10"/>
      <c r="R14" s="3"/>
      <c r="S14" s="3"/>
      <c r="T14" s="3"/>
      <c r="U14" s="3"/>
      <c r="V14" s="4"/>
      <c r="W14" s="4"/>
      <c r="X14" s="4"/>
    </row>
    <row r="15" spans="4:24" x14ac:dyDescent="0.3">
      <c r="D15" s="4"/>
      <c r="E15" s="33" t="s">
        <v>57</v>
      </c>
      <c r="F15" s="31"/>
      <c r="G15" s="31"/>
      <c r="H15" s="31" t="s">
        <v>9</v>
      </c>
      <c r="I15" s="31" t="s">
        <v>10</v>
      </c>
      <c r="J15" s="31" t="s">
        <v>11</v>
      </c>
      <c r="K15" s="10"/>
      <c r="L15" s="10"/>
      <c r="M15" s="10"/>
      <c r="N15" s="10"/>
      <c r="O15" s="10"/>
      <c r="P15" s="4"/>
      <c r="Q15" s="10"/>
      <c r="R15" s="4"/>
      <c r="S15" s="4"/>
      <c r="T15" s="4"/>
      <c r="U15" s="4"/>
      <c r="V15" s="4"/>
      <c r="W15" s="4"/>
      <c r="X15" s="4"/>
    </row>
    <row r="16" spans="4:24" x14ac:dyDescent="0.3">
      <c r="D16" s="4"/>
      <c r="E16" s="35" t="s">
        <v>58</v>
      </c>
      <c r="F16" s="31">
        <v>7</v>
      </c>
      <c r="G16" s="31">
        <v>3</v>
      </c>
      <c r="H16" s="31">
        <f>SUMPRODUCT(F12:G12,F16:G16)</f>
        <v>1305</v>
      </c>
      <c r="I16" s="31" t="s">
        <v>4</v>
      </c>
      <c r="J16" s="31">
        <v>1365</v>
      </c>
      <c r="K16" s="6"/>
      <c r="L16" s="6"/>
      <c r="M16" s="6"/>
      <c r="N16" s="6"/>
      <c r="O16" s="6"/>
      <c r="P16" s="4"/>
      <c r="Q16" s="4"/>
      <c r="R16" s="4"/>
      <c r="S16" s="4"/>
      <c r="T16" s="4"/>
      <c r="U16" s="4"/>
      <c r="V16" s="4"/>
      <c r="W16" s="4"/>
      <c r="X16" s="4"/>
    </row>
    <row r="17" spans="4:24" x14ac:dyDescent="0.3">
      <c r="D17" s="4"/>
      <c r="E17" s="35" t="s">
        <v>59</v>
      </c>
      <c r="F17" s="31">
        <v>6</v>
      </c>
      <c r="G17" s="36">
        <v>3</v>
      </c>
      <c r="H17" s="31">
        <f>SUMPRODUCT(F12:G12,F17:G17)</f>
        <v>1245</v>
      </c>
      <c r="I17" s="31" t="s">
        <v>4</v>
      </c>
      <c r="J17" s="31">
        <v>1245</v>
      </c>
      <c r="K17" s="6"/>
      <c r="L17" s="7"/>
      <c r="M17" s="7"/>
      <c r="N17" s="7"/>
      <c r="O17" s="7"/>
      <c r="P17" s="4"/>
      <c r="Q17" s="10"/>
      <c r="R17" s="4"/>
      <c r="S17" s="4"/>
      <c r="T17" s="4"/>
      <c r="U17" s="4"/>
      <c r="V17" s="4"/>
      <c r="W17" s="4"/>
      <c r="X17" s="4"/>
    </row>
    <row r="18" spans="4:24" x14ac:dyDescent="0.3">
      <c r="D18" s="4"/>
      <c r="E18" s="35" t="s">
        <v>60</v>
      </c>
      <c r="F18" s="31">
        <v>1</v>
      </c>
      <c r="G18" s="31">
        <v>2</v>
      </c>
      <c r="H18" s="31">
        <f>SUMPRODUCT(F12:G12,F18:G18)</f>
        <v>650</v>
      </c>
      <c r="I18" s="31" t="s">
        <v>4</v>
      </c>
      <c r="J18" s="31">
        <v>650</v>
      </c>
      <c r="K18" s="7"/>
      <c r="L18" s="7"/>
      <c r="M18" s="7"/>
      <c r="N18" s="7"/>
      <c r="O18" s="7"/>
      <c r="P18" s="4"/>
      <c r="Q18" s="10"/>
      <c r="R18" s="4"/>
      <c r="S18" s="4"/>
      <c r="T18" s="4"/>
      <c r="U18" s="4"/>
      <c r="V18" s="4"/>
      <c r="W18" s="4"/>
      <c r="X18" s="4"/>
    </row>
    <row r="19" spans="4:24" x14ac:dyDescent="0.3">
      <c r="D19" s="4"/>
      <c r="E19" s="34"/>
      <c r="F19" s="34"/>
      <c r="G19" s="34"/>
      <c r="H19" s="34"/>
      <c r="I19" s="34"/>
      <c r="J19" s="34"/>
      <c r="K19" s="6"/>
      <c r="L19" s="7"/>
      <c r="M19" s="7"/>
      <c r="N19" s="7"/>
      <c r="O19" s="7"/>
      <c r="P19" s="4"/>
      <c r="Q19" s="4"/>
      <c r="R19" s="4"/>
      <c r="S19" s="4"/>
      <c r="T19" s="4"/>
      <c r="U19" s="4"/>
      <c r="V19" s="4"/>
      <c r="W19" s="4"/>
      <c r="X19" s="4"/>
    </row>
    <row r="20" spans="4:24" x14ac:dyDescent="0.3">
      <c r="D20" s="4"/>
      <c r="E20" s="3"/>
      <c r="F20" s="3"/>
      <c r="G20" s="6"/>
      <c r="H20" s="6"/>
      <c r="I20" s="6"/>
      <c r="J20" s="6"/>
      <c r="K20" s="6"/>
      <c r="L20" s="6"/>
      <c r="M20" s="7"/>
      <c r="N20" s="7"/>
      <c r="O20" s="7"/>
      <c r="P20" s="4"/>
      <c r="Q20" s="4"/>
      <c r="R20" s="4"/>
      <c r="S20" s="4"/>
      <c r="T20" s="4"/>
      <c r="U20" s="4"/>
      <c r="V20" s="4"/>
      <c r="W20" s="4"/>
      <c r="X20" s="4"/>
    </row>
    <row r="21" spans="4:24" x14ac:dyDescent="0.3">
      <c r="D21" s="4"/>
      <c r="E21" s="3"/>
      <c r="F21" s="3"/>
      <c r="G21" s="6"/>
      <c r="H21" s="6"/>
      <c r="I21" s="6"/>
      <c r="J21" s="6"/>
      <c r="K21" s="9"/>
      <c r="L21" s="7"/>
      <c r="M21" s="7"/>
      <c r="N21" s="7"/>
      <c r="O21" s="7"/>
      <c r="P21" s="4"/>
      <c r="Q21" s="3"/>
      <c r="R21" s="3"/>
      <c r="S21" s="3"/>
      <c r="T21" s="3"/>
      <c r="U21" s="3"/>
      <c r="V21" s="3"/>
      <c r="W21" s="3"/>
      <c r="X21" s="3"/>
    </row>
    <row r="22" spans="4:24" x14ac:dyDescent="0.3">
      <c r="D22" s="4"/>
      <c r="E22" s="41" t="s">
        <v>104</v>
      </c>
      <c r="F22" s="41"/>
      <c r="G22" s="41"/>
      <c r="H22" s="41"/>
      <c r="I22" s="41"/>
      <c r="J22" s="41"/>
      <c r="K22" s="41"/>
      <c r="L22" s="3"/>
      <c r="M22" s="7"/>
      <c r="N22" s="7"/>
      <c r="O22" s="7"/>
      <c r="P22" s="4"/>
      <c r="Q22" s="3"/>
      <c r="R22" s="3"/>
      <c r="S22" s="3"/>
      <c r="T22" s="3"/>
      <c r="U22" s="3"/>
      <c r="V22" s="3"/>
      <c r="W22" s="3"/>
      <c r="X22" s="3"/>
    </row>
    <row r="23" spans="4:24" x14ac:dyDescent="0.3">
      <c r="D23" s="4"/>
      <c r="E23" s="3"/>
      <c r="F23" s="3"/>
      <c r="G23" s="6"/>
      <c r="H23" s="6"/>
      <c r="I23" s="6"/>
      <c r="J23" s="6"/>
      <c r="K23" s="6"/>
      <c r="L23" s="7"/>
      <c r="M23" s="7"/>
      <c r="N23" s="7"/>
      <c r="O23" s="7"/>
      <c r="P23" s="4"/>
      <c r="Q23" s="4"/>
      <c r="R23" s="4"/>
      <c r="S23" s="4"/>
      <c r="T23" s="4"/>
      <c r="U23" s="4"/>
      <c r="V23" s="4"/>
      <c r="W23" s="4"/>
      <c r="X23" s="4"/>
    </row>
    <row r="24" spans="4:24" x14ac:dyDescent="0.3">
      <c r="D24" s="4"/>
      <c r="E24" s="12"/>
      <c r="F24" s="40" t="s">
        <v>2</v>
      </c>
      <c r="G24" s="40"/>
      <c r="H24" s="40"/>
      <c r="I24" s="10"/>
      <c r="J24" s="1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4:24" x14ac:dyDescent="0.3">
      <c r="D25" s="4"/>
      <c r="E25" s="16" t="s">
        <v>12</v>
      </c>
      <c r="F25" s="31" t="s">
        <v>3</v>
      </c>
      <c r="G25" s="31" t="s">
        <v>5</v>
      </c>
      <c r="H25" s="31" t="s">
        <v>6</v>
      </c>
      <c r="I25" s="59"/>
      <c r="J25" s="6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4:24" ht="25.8" customHeight="1" x14ac:dyDescent="0.3">
      <c r="D26" s="4"/>
      <c r="E26" s="16" t="s">
        <v>13</v>
      </c>
      <c r="F26" s="28">
        <v>0</v>
      </c>
      <c r="G26" s="28">
        <v>7.7777777777777732</v>
      </c>
      <c r="H26" s="28">
        <v>13.333333333333334</v>
      </c>
      <c r="I26" s="29" t="s">
        <v>15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4:24" ht="18.600000000000001" customHeight="1" x14ac:dyDescent="0.3">
      <c r="D27" s="4"/>
      <c r="E27" s="16" t="s">
        <v>14</v>
      </c>
      <c r="F27" s="32">
        <v>1365</v>
      </c>
      <c r="G27" s="32">
        <v>1245</v>
      </c>
      <c r="H27" s="32">
        <v>650</v>
      </c>
      <c r="I27" s="30">
        <f>SUMPRODUCT(F26:H26,F27:H27)</f>
        <v>18349.999999999996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4:24" x14ac:dyDescent="0.3">
      <c r="D28" s="4"/>
      <c r="E28" s="13"/>
      <c r="F28" s="37" t="s">
        <v>7</v>
      </c>
      <c r="G28" s="38"/>
      <c r="H28" s="38"/>
      <c r="I28" s="38"/>
      <c r="J28" s="39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4:24" x14ac:dyDescent="0.3">
      <c r="D29" s="4"/>
      <c r="E29" s="15" t="s">
        <v>8</v>
      </c>
      <c r="F29" s="13"/>
      <c r="G29" s="13"/>
      <c r="H29" s="13"/>
      <c r="I29" s="13" t="s">
        <v>9</v>
      </c>
      <c r="J29" s="13" t="s">
        <v>10</v>
      </c>
      <c r="K29" s="13" t="s">
        <v>11</v>
      </c>
      <c r="M29" s="3"/>
      <c r="N29" s="3"/>
      <c r="O29" s="3"/>
      <c r="P29" s="4"/>
      <c r="Q29" s="5"/>
      <c r="R29" s="5"/>
      <c r="S29" s="5"/>
      <c r="T29" s="5"/>
      <c r="U29" s="4"/>
      <c r="V29" s="4"/>
      <c r="W29" s="4"/>
      <c r="X29" s="4"/>
    </row>
    <row r="30" spans="4:24" x14ac:dyDescent="0.3">
      <c r="D30" s="4"/>
      <c r="E30" s="16" t="s">
        <v>55</v>
      </c>
      <c r="F30" s="13">
        <v>7</v>
      </c>
      <c r="G30" s="13">
        <v>6</v>
      </c>
      <c r="H30" s="13">
        <v>1</v>
      </c>
      <c r="I30" s="13">
        <f>SUMPRODUCT(F30:H30,F26:H26)</f>
        <v>59.999999999999979</v>
      </c>
      <c r="J30" s="13" t="s">
        <v>93</v>
      </c>
      <c r="K30" s="13">
        <v>60</v>
      </c>
      <c r="M30" s="3"/>
      <c r="N30" s="3"/>
      <c r="O30" s="3"/>
      <c r="P30" s="4"/>
      <c r="Q30" s="5"/>
      <c r="R30" s="5"/>
      <c r="S30" s="5"/>
      <c r="T30" s="5"/>
      <c r="U30" s="4"/>
      <c r="V30" s="4"/>
      <c r="W30" s="4"/>
      <c r="X30" s="4"/>
    </row>
    <row r="31" spans="4:24" x14ac:dyDescent="0.3">
      <c r="D31" s="4"/>
      <c r="E31" s="16" t="s">
        <v>56</v>
      </c>
      <c r="F31" s="13">
        <v>3</v>
      </c>
      <c r="G31" s="14">
        <v>3</v>
      </c>
      <c r="H31" s="13">
        <v>2</v>
      </c>
      <c r="I31" s="13">
        <f>SUMPRODUCT(F31:H31,F26:H26)</f>
        <v>49.999999999999986</v>
      </c>
      <c r="J31" s="13" t="s">
        <v>93</v>
      </c>
      <c r="K31" s="13">
        <v>50</v>
      </c>
      <c r="M31" s="3"/>
      <c r="N31" s="3"/>
      <c r="O31" s="3"/>
      <c r="P31" s="4"/>
      <c r="Q31" s="5"/>
      <c r="R31" s="5"/>
      <c r="S31" s="5"/>
      <c r="T31" s="5"/>
      <c r="U31" s="4"/>
      <c r="V31" s="4"/>
      <c r="W31" s="4"/>
      <c r="X31" s="4"/>
    </row>
    <row r="32" spans="4:24" x14ac:dyDescent="0.3"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/>
      <c r="Q32" s="5"/>
      <c r="R32" s="5"/>
      <c r="S32" s="5"/>
      <c r="T32" s="5"/>
      <c r="U32" s="4"/>
      <c r="V32" s="4"/>
      <c r="W32" s="4"/>
      <c r="X32" s="4"/>
    </row>
    <row r="33" spans="4:24" x14ac:dyDescent="0.3">
      <c r="D33" s="4"/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</row>
    <row r="34" spans="4:24" x14ac:dyDescent="0.3">
      <c r="D34" s="4"/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</row>
    <row r="35" spans="4:24" x14ac:dyDescent="0.3">
      <c r="D35" s="4"/>
      <c r="E35" s="3"/>
      <c r="F35" s="3"/>
      <c r="G35" s="3"/>
      <c r="H35" s="3"/>
      <c r="I35" s="3"/>
      <c r="J35" s="3"/>
      <c r="K35" s="3"/>
      <c r="L35" s="3"/>
      <c r="M35" s="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4:24" x14ac:dyDescent="0.3">
      <c r="D36" s="4"/>
      <c r="E36" s="3"/>
      <c r="F36" s="3"/>
      <c r="G36" s="3"/>
      <c r="H36" s="3"/>
      <c r="I36" s="3"/>
      <c r="J36" s="3"/>
      <c r="K36" s="3"/>
      <c r="L36" s="3"/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4:24" x14ac:dyDescent="0.3">
      <c r="D37" s="4"/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</row>
    <row r="38" spans="4:24" x14ac:dyDescent="0.3">
      <c r="D38" s="4"/>
      <c r="E38" s="4"/>
      <c r="F38" s="4"/>
      <c r="G38" s="3"/>
      <c r="H38" s="3"/>
      <c r="I38" s="3"/>
      <c r="J38" s="3"/>
      <c r="K38" s="3"/>
      <c r="L38" s="3"/>
      <c r="M38" s="3"/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</row>
    <row r="39" spans="4:24" x14ac:dyDescent="0.3">
      <c r="D39" s="4"/>
      <c r="E39" s="4"/>
      <c r="F39" s="4"/>
      <c r="G39" s="4"/>
      <c r="H39" s="3"/>
      <c r="I39" s="3"/>
      <c r="J39" s="3"/>
      <c r="K39" s="3"/>
      <c r="L39" s="3"/>
      <c r="M39" s="3"/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</row>
    <row r="40" spans="4:24" x14ac:dyDescent="0.3">
      <c r="D40" s="4"/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</row>
    <row r="41" spans="4:24" x14ac:dyDescent="0.3">
      <c r="D41" s="4"/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</row>
    <row r="42" spans="4:24" x14ac:dyDescent="0.3"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</row>
    <row r="43" spans="4:24" x14ac:dyDescent="0.3"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</row>
    <row r="44" spans="4:24" x14ac:dyDescent="0.3">
      <c r="D44" s="4"/>
      <c r="E44" s="4"/>
      <c r="F44" s="3"/>
      <c r="G44" s="3"/>
      <c r="H44" s="3"/>
      <c r="I44" s="3"/>
      <c r="J44" s="3"/>
      <c r="K44" s="3"/>
      <c r="L44" s="3"/>
      <c r="M44" s="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4:24" x14ac:dyDescent="0.3">
      <c r="D45" s="4"/>
      <c r="E45" s="4"/>
      <c r="F45" s="8"/>
      <c r="G45" s="10"/>
      <c r="H45" s="10"/>
      <c r="I45" s="10"/>
      <c r="J45" s="10"/>
      <c r="K45" s="10"/>
      <c r="L45" s="10"/>
      <c r="M45" s="10"/>
      <c r="N45" s="10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4:24" x14ac:dyDescent="0.3">
      <c r="D46" s="4"/>
      <c r="E46" s="4"/>
      <c r="F46" s="3"/>
      <c r="G46" s="10"/>
      <c r="H46" s="10"/>
      <c r="I46" s="10"/>
      <c r="J46" s="10"/>
      <c r="K46" s="10"/>
      <c r="L46" s="10"/>
      <c r="M46" s="10"/>
      <c r="N46" s="10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4:24" x14ac:dyDescent="0.3">
      <c r="D47" s="4"/>
      <c r="E47" s="4"/>
      <c r="F47" s="2"/>
      <c r="G47" s="3"/>
      <c r="H47" s="3"/>
      <c r="I47" s="3"/>
      <c r="J47" s="3"/>
      <c r="K47" s="3"/>
      <c r="L47" s="3"/>
      <c r="M47" s="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4:24" x14ac:dyDescent="0.3">
      <c r="D48" s="4"/>
      <c r="E48" s="4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4:24" x14ac:dyDescent="0.3">
      <c r="D49" s="4"/>
      <c r="E49" s="4"/>
      <c r="F49" s="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4:24" x14ac:dyDescent="0.3">
      <c r="D50" s="4"/>
      <c r="E50" s="4"/>
      <c r="F50" s="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4:24" x14ac:dyDescent="0.3">
      <c r="D51" s="4"/>
      <c r="E51" s="4"/>
      <c r="F51" s="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4:24" x14ac:dyDescent="0.3">
      <c r="D52" s="4"/>
      <c r="E52" s="4"/>
      <c r="F52" s="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4:24" x14ac:dyDescent="0.3"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4:24" x14ac:dyDescent="0.3"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4:24" x14ac:dyDescent="0.3"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4"/>
      <c r="Q55" s="4"/>
      <c r="R55" s="2"/>
      <c r="S55" s="2"/>
      <c r="T55" s="2"/>
      <c r="U55" s="2"/>
      <c r="V55" s="2"/>
      <c r="W55" s="2"/>
      <c r="X55" s="4"/>
    </row>
    <row r="56" spans="4:24" x14ac:dyDescent="0.3"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4"/>
      <c r="Q56" s="4"/>
      <c r="R56" s="2"/>
      <c r="S56" s="2"/>
      <c r="T56" s="2"/>
      <c r="U56" s="2"/>
      <c r="V56" s="2"/>
      <c r="W56" s="2"/>
      <c r="X56" s="4"/>
    </row>
    <row r="57" spans="4:24" x14ac:dyDescent="0.3">
      <c r="D57" s="4"/>
      <c r="E57" s="4"/>
      <c r="F57" s="3"/>
      <c r="G57" s="3"/>
      <c r="H57" s="3"/>
      <c r="I57" s="3"/>
      <c r="J57" s="3"/>
      <c r="K57" s="3"/>
      <c r="L57" s="3"/>
      <c r="M57" s="3"/>
      <c r="N57" s="4"/>
      <c r="O57" s="4"/>
      <c r="P57" s="4"/>
      <c r="Q57" s="4"/>
      <c r="R57" s="2"/>
      <c r="S57" s="2"/>
      <c r="T57" s="2"/>
      <c r="U57" s="2"/>
      <c r="V57" s="2"/>
      <c r="W57" s="2"/>
      <c r="X57" s="4"/>
    </row>
    <row r="58" spans="4:24" x14ac:dyDescent="0.3">
      <c r="D58" s="4"/>
      <c r="E58" s="4"/>
      <c r="F58" s="8"/>
      <c r="G58" s="10"/>
      <c r="H58" s="10"/>
      <c r="I58" s="10"/>
      <c r="J58" s="10"/>
      <c r="K58" s="10"/>
      <c r="L58" s="10"/>
      <c r="M58" s="10"/>
      <c r="N58" s="10"/>
      <c r="O58" s="4"/>
      <c r="P58" s="4"/>
      <c r="Q58" s="4"/>
      <c r="R58" s="2"/>
      <c r="S58" s="2"/>
      <c r="T58" s="2"/>
      <c r="U58" s="2"/>
      <c r="V58" s="2"/>
      <c r="W58" s="2"/>
      <c r="X58" s="4"/>
    </row>
    <row r="59" spans="4:24" x14ac:dyDescent="0.3">
      <c r="D59" s="4"/>
      <c r="E59" s="4"/>
      <c r="F59" s="3"/>
      <c r="G59" s="10"/>
      <c r="H59" s="10"/>
      <c r="I59" s="10"/>
      <c r="J59" s="10"/>
      <c r="K59" s="10"/>
      <c r="L59" s="10"/>
      <c r="M59" s="10"/>
      <c r="N59" s="10"/>
      <c r="O59" s="4"/>
      <c r="P59" s="4"/>
      <c r="Q59" s="4"/>
      <c r="R59" s="2"/>
      <c r="S59" s="2"/>
      <c r="T59" s="2"/>
      <c r="U59" s="2"/>
      <c r="V59" s="2"/>
      <c r="W59" s="2"/>
      <c r="X59" s="4"/>
    </row>
    <row r="60" spans="4:24" x14ac:dyDescent="0.3">
      <c r="D60" s="4"/>
      <c r="E60" s="4"/>
      <c r="F60" s="2"/>
      <c r="G60" s="3"/>
      <c r="H60" s="3"/>
      <c r="I60" s="3"/>
      <c r="J60" s="3"/>
      <c r="K60" s="3"/>
      <c r="L60" s="3"/>
      <c r="M60" s="3"/>
      <c r="N60" s="4"/>
      <c r="O60" s="4"/>
      <c r="P60" s="4"/>
      <c r="Q60" s="4"/>
      <c r="R60" s="2"/>
      <c r="S60" s="2"/>
      <c r="T60" s="2"/>
      <c r="U60" s="2"/>
      <c r="V60" s="2"/>
      <c r="W60" s="2"/>
      <c r="X60" s="4"/>
    </row>
    <row r="61" spans="4:24" x14ac:dyDescent="0.3">
      <c r="D61" s="4"/>
      <c r="E61" s="4"/>
      <c r="F61" s="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2"/>
      <c r="S61" s="2"/>
      <c r="T61" s="2"/>
      <c r="U61" s="2"/>
      <c r="V61" s="2"/>
      <c r="W61" s="2"/>
      <c r="X61" s="4"/>
    </row>
    <row r="62" spans="4:24" x14ac:dyDescent="0.3">
      <c r="D62" s="4"/>
      <c r="E62" s="4"/>
      <c r="F62" s="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2"/>
      <c r="S62" s="2"/>
      <c r="T62" s="2"/>
      <c r="U62" s="2"/>
      <c r="V62" s="2"/>
      <c r="W62" s="2"/>
      <c r="X62" s="4"/>
    </row>
    <row r="63" spans="4:24" x14ac:dyDescent="0.3">
      <c r="D63" s="4"/>
      <c r="E63" s="4"/>
      <c r="F63" s="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2"/>
      <c r="S63" s="2"/>
      <c r="T63" s="2"/>
      <c r="U63" s="2"/>
      <c r="V63" s="2"/>
      <c r="W63" s="2"/>
      <c r="X63" s="4"/>
    </row>
    <row r="64" spans="4:24" x14ac:dyDescent="0.3">
      <c r="D64" s="4"/>
      <c r="E64" s="4"/>
      <c r="F64" s="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4:24" x14ac:dyDescent="0.3">
      <c r="D65" s="4"/>
      <c r="E65" s="4"/>
      <c r="F65" s="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3"/>
      <c r="T65" s="3"/>
      <c r="U65" s="2"/>
      <c r="V65" s="4"/>
      <c r="W65" s="4"/>
      <c r="X65" s="4"/>
    </row>
    <row r="66" spans="4:24" x14ac:dyDescent="0.3"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3"/>
      <c r="T66" s="3"/>
      <c r="U66" s="2"/>
      <c r="V66" s="4"/>
      <c r="W66" s="4"/>
      <c r="X66" s="4"/>
    </row>
    <row r="67" spans="4:24" x14ac:dyDescent="0.3"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3"/>
      <c r="T67" s="3"/>
      <c r="U67" s="2"/>
      <c r="V67" s="4"/>
      <c r="W67" s="4"/>
      <c r="X67" s="4"/>
    </row>
    <row r="68" spans="4:24" x14ac:dyDescent="0.3"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4"/>
      <c r="Q68" s="4"/>
      <c r="R68" s="4"/>
      <c r="S68" s="3"/>
      <c r="T68" s="3"/>
      <c r="U68" s="2"/>
      <c r="V68" s="4"/>
      <c r="W68" s="4"/>
      <c r="X68" s="4"/>
    </row>
    <row r="69" spans="4:24" x14ac:dyDescent="0.3"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</row>
    <row r="70" spans="4:24" x14ac:dyDescent="0.3">
      <c r="D70" s="4"/>
      <c r="E70" s="4"/>
      <c r="F70" s="3"/>
      <c r="G70" s="3"/>
      <c r="H70" s="3"/>
      <c r="I70" s="3"/>
      <c r="J70" s="3"/>
      <c r="K70" s="3"/>
      <c r="L70" s="3"/>
      <c r="M70" s="3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4:24" x14ac:dyDescent="0.3">
      <c r="D71" s="4"/>
      <c r="E71" s="4"/>
      <c r="F71" s="8"/>
      <c r="G71" s="10"/>
      <c r="H71" s="10"/>
      <c r="I71" s="10"/>
      <c r="J71" s="10"/>
      <c r="K71" s="10"/>
      <c r="L71" s="10"/>
      <c r="M71" s="10"/>
      <c r="N71" s="10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4:24" x14ac:dyDescent="0.3">
      <c r="D72" s="4"/>
      <c r="E72" s="4"/>
      <c r="F72" s="3"/>
      <c r="G72" s="10"/>
      <c r="H72" s="10"/>
      <c r="I72" s="10"/>
      <c r="J72" s="10"/>
      <c r="K72" s="10"/>
      <c r="L72" s="10"/>
      <c r="M72" s="10"/>
      <c r="N72" s="10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4:24" x14ac:dyDescent="0.3">
      <c r="D73" s="4"/>
      <c r="E73" s="4"/>
      <c r="F73" s="2"/>
      <c r="G73" s="3"/>
      <c r="H73" s="3"/>
      <c r="I73" s="3"/>
      <c r="J73" s="3"/>
      <c r="K73" s="3"/>
      <c r="L73" s="3"/>
      <c r="M73" s="3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4:24" x14ac:dyDescent="0.3">
      <c r="D74" s="4"/>
      <c r="E74" s="4"/>
      <c r="F74" s="2"/>
      <c r="G74" s="4"/>
      <c r="H74" s="4"/>
      <c r="I74" s="4"/>
      <c r="J74" s="4"/>
      <c r="K74" s="4"/>
      <c r="L74" s="4"/>
      <c r="M74" s="4"/>
      <c r="N74" s="8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4:24" x14ac:dyDescent="0.3">
      <c r="D75" s="4"/>
      <c r="E75" s="4"/>
      <c r="F75" s="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4:24" x14ac:dyDescent="0.3">
      <c r="D76" s="4"/>
      <c r="E76" s="4"/>
      <c r="F76" s="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4:24" x14ac:dyDescent="0.3">
      <c r="D77" s="4"/>
      <c r="E77" s="4"/>
      <c r="F77" s="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4:24" x14ac:dyDescent="0.3">
      <c r="D78" s="4"/>
      <c r="E78" s="4"/>
      <c r="F78" s="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4:24" x14ac:dyDescent="0.3"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4:24" x14ac:dyDescent="0.3"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4:24" x14ac:dyDescent="0.3"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4:24" x14ac:dyDescent="0.3"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</sheetData>
  <mergeCells count="9">
    <mergeCell ref="E3:G3"/>
    <mergeCell ref="E4:G4"/>
    <mergeCell ref="E2:G2"/>
    <mergeCell ref="F10:G10"/>
    <mergeCell ref="E22:K22"/>
    <mergeCell ref="F28:J28"/>
    <mergeCell ref="F14:J14"/>
    <mergeCell ref="E8:J8"/>
    <mergeCell ref="F24:H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E4919-7A1D-4234-AA12-287DF51C0652}">
  <dimension ref="A1:G29"/>
  <sheetViews>
    <sheetView showGridLines="0" topLeftCell="A15" workbookViewId="0">
      <selection activeCell="C16" sqref="C16"/>
    </sheetView>
  </sheetViews>
  <sheetFormatPr defaultRowHeight="14.4" x14ac:dyDescent="0.3"/>
  <cols>
    <col min="1" max="1" width="2.33203125" customWidth="1"/>
    <col min="2" max="2" width="9.5546875" customWidth="1"/>
    <col min="3" max="3" width="65.21875" customWidth="1"/>
    <col min="4" max="4" width="13.44140625" style="54" customWidth="1"/>
    <col min="5" max="5" width="18.77734375" style="54" customWidth="1"/>
    <col min="6" max="6" width="10.44140625" bestFit="1" customWidth="1"/>
    <col min="7" max="7" width="5.33203125" bestFit="1" customWidth="1"/>
  </cols>
  <sheetData>
    <row r="1" spans="1:5" x14ac:dyDescent="0.3">
      <c r="A1" s="22" t="s">
        <v>16</v>
      </c>
    </row>
    <row r="2" spans="1:5" x14ac:dyDescent="0.3">
      <c r="A2" s="22" t="s">
        <v>61</v>
      </c>
    </row>
    <row r="3" spans="1:5" x14ac:dyDescent="0.3">
      <c r="A3" s="22" t="s">
        <v>62</v>
      </c>
    </row>
    <row r="4" spans="1:5" x14ac:dyDescent="0.3">
      <c r="A4" s="22" t="s">
        <v>17</v>
      </c>
    </row>
    <row r="5" spans="1:5" x14ac:dyDescent="0.3">
      <c r="A5" s="22" t="s">
        <v>18</v>
      </c>
    </row>
    <row r="6" spans="1:5" x14ac:dyDescent="0.3">
      <c r="A6" s="22"/>
      <c r="B6" t="s">
        <v>19</v>
      </c>
    </row>
    <row r="7" spans="1:5" x14ac:dyDescent="0.3">
      <c r="A7" s="22"/>
      <c r="B7" t="s">
        <v>20</v>
      </c>
    </row>
    <row r="8" spans="1:5" x14ac:dyDescent="0.3">
      <c r="A8" s="22"/>
      <c r="B8" t="s">
        <v>21</v>
      </c>
    </row>
    <row r="9" spans="1:5" x14ac:dyDescent="0.3">
      <c r="A9" s="22" t="s">
        <v>22</v>
      </c>
    </row>
    <row r="10" spans="1:5" x14ac:dyDescent="0.3">
      <c r="B10" t="s">
        <v>23</v>
      </c>
    </row>
    <row r="11" spans="1:5" x14ac:dyDescent="0.3">
      <c r="B11" t="s">
        <v>24</v>
      </c>
    </row>
    <row r="14" spans="1:5" ht="15" thickBot="1" x14ac:dyDescent="0.35">
      <c r="A14" t="s">
        <v>47</v>
      </c>
    </row>
    <row r="15" spans="1:5" ht="15" thickBot="1" x14ac:dyDescent="0.35">
      <c r="B15" s="24" t="s">
        <v>26</v>
      </c>
      <c r="C15" s="24" t="s">
        <v>27</v>
      </c>
      <c r="D15" s="24" t="s">
        <v>28</v>
      </c>
      <c r="E15" s="24" t="s">
        <v>29</v>
      </c>
    </row>
    <row r="16" spans="1:5" ht="15" thickBot="1" x14ac:dyDescent="0.35">
      <c r="B16" s="23" t="s">
        <v>37</v>
      </c>
      <c r="C16" s="23" t="s">
        <v>38</v>
      </c>
      <c r="D16" s="55">
        <v>18350</v>
      </c>
      <c r="E16" s="55">
        <v>18350</v>
      </c>
    </row>
    <row r="19" spans="1:7" ht="15" thickBot="1" x14ac:dyDescent="0.35">
      <c r="A19" t="s">
        <v>30</v>
      </c>
    </row>
    <row r="20" spans="1:7" ht="15" thickBot="1" x14ac:dyDescent="0.35">
      <c r="B20" s="24" t="s">
        <v>26</v>
      </c>
      <c r="C20" s="24" t="s">
        <v>27</v>
      </c>
      <c r="D20" s="24" t="s">
        <v>28</v>
      </c>
      <c r="E20" s="24" t="s">
        <v>29</v>
      </c>
      <c r="F20" s="24" t="s">
        <v>31</v>
      </c>
    </row>
    <row r="21" spans="1:7" x14ac:dyDescent="0.3">
      <c r="B21" s="25" t="s">
        <v>39</v>
      </c>
      <c r="C21" s="25" t="s">
        <v>63</v>
      </c>
      <c r="D21" s="56">
        <v>60</v>
      </c>
      <c r="E21" s="56">
        <v>60</v>
      </c>
      <c r="F21" s="25" t="s">
        <v>40</v>
      </c>
    </row>
    <row r="22" spans="1:7" ht="15" thickBot="1" x14ac:dyDescent="0.35">
      <c r="B22" s="23" t="s">
        <v>41</v>
      </c>
      <c r="C22" s="23" t="s">
        <v>64</v>
      </c>
      <c r="D22" s="55">
        <v>295</v>
      </c>
      <c r="E22" s="55">
        <v>295</v>
      </c>
      <c r="F22" s="23" t="s">
        <v>40</v>
      </c>
    </row>
    <row r="25" spans="1:7" ht="15" thickBot="1" x14ac:dyDescent="0.35">
      <c r="A25" t="s">
        <v>32</v>
      </c>
    </row>
    <row r="26" spans="1:7" ht="15" thickBot="1" x14ac:dyDescent="0.35">
      <c r="B26" s="24" t="s">
        <v>26</v>
      </c>
      <c r="C26" s="24" t="s">
        <v>27</v>
      </c>
      <c r="D26" s="24" t="s">
        <v>33</v>
      </c>
      <c r="E26" s="24" t="s">
        <v>34</v>
      </c>
      <c r="F26" s="24" t="s">
        <v>35</v>
      </c>
      <c r="G26" s="24" t="s">
        <v>36</v>
      </c>
    </row>
    <row r="27" spans="1:7" x14ac:dyDescent="0.3">
      <c r="B27" s="25" t="s">
        <v>42</v>
      </c>
      <c r="C27" s="25" t="s">
        <v>65</v>
      </c>
      <c r="D27" s="56">
        <v>1305</v>
      </c>
      <c r="E27" s="57" t="s">
        <v>66</v>
      </c>
      <c r="F27" s="25" t="s">
        <v>45</v>
      </c>
      <c r="G27" s="25">
        <v>60</v>
      </c>
    </row>
    <row r="28" spans="1:7" x14ac:dyDescent="0.3">
      <c r="B28" s="25" t="s">
        <v>44</v>
      </c>
      <c r="C28" s="25" t="s">
        <v>67</v>
      </c>
      <c r="D28" s="56">
        <v>1245</v>
      </c>
      <c r="E28" s="57" t="s">
        <v>68</v>
      </c>
      <c r="F28" s="25" t="s">
        <v>43</v>
      </c>
      <c r="G28" s="25">
        <v>0</v>
      </c>
    </row>
    <row r="29" spans="1:7" ht="15" thickBot="1" x14ac:dyDescent="0.35">
      <c r="B29" s="23" t="s">
        <v>46</v>
      </c>
      <c r="C29" s="23" t="s">
        <v>69</v>
      </c>
      <c r="D29" s="55">
        <v>650</v>
      </c>
      <c r="E29" s="58" t="s">
        <v>70</v>
      </c>
      <c r="F29" s="23" t="s">
        <v>43</v>
      </c>
      <c r="G29" s="2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BEC4-6F36-4BB1-A350-D2D438FEADDC}">
  <dimension ref="A1:H17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23.21875" bestFit="1" customWidth="1"/>
    <col min="4" max="4" width="5.77734375" bestFit="1" customWidth="1"/>
    <col min="5" max="5" width="12" bestFit="1" customWidth="1"/>
    <col min="6" max="6" width="10.109375" bestFit="1" customWidth="1"/>
    <col min="7" max="7" width="12" bestFit="1" customWidth="1"/>
    <col min="8" max="8" width="9.21875" bestFit="1" customWidth="1"/>
  </cols>
  <sheetData>
    <row r="1" spans="1:8" x14ac:dyDescent="0.3">
      <c r="A1" s="22" t="s">
        <v>71</v>
      </c>
    </row>
    <row r="2" spans="1:8" x14ac:dyDescent="0.3">
      <c r="A2" s="22" t="s">
        <v>61</v>
      </c>
    </row>
    <row r="3" spans="1:8" x14ac:dyDescent="0.3">
      <c r="A3" s="22" t="s">
        <v>62</v>
      </c>
    </row>
    <row r="6" spans="1:8" ht="15" thickBot="1" x14ac:dyDescent="0.35">
      <c r="A6" t="s">
        <v>30</v>
      </c>
    </row>
    <row r="7" spans="1:8" x14ac:dyDescent="0.3">
      <c r="B7" s="52"/>
      <c r="C7" s="52"/>
      <c r="D7" s="52" t="s">
        <v>72</v>
      </c>
      <c r="E7" s="52" t="s">
        <v>74</v>
      </c>
      <c r="F7" s="52" t="s">
        <v>76</v>
      </c>
      <c r="G7" s="52" t="s">
        <v>78</v>
      </c>
      <c r="H7" s="52" t="s">
        <v>78</v>
      </c>
    </row>
    <row r="8" spans="1:8" ht="15" thickBot="1" x14ac:dyDescent="0.35">
      <c r="B8" s="53" t="s">
        <v>26</v>
      </c>
      <c r="C8" s="53" t="s">
        <v>27</v>
      </c>
      <c r="D8" s="53" t="s">
        <v>73</v>
      </c>
      <c r="E8" s="53" t="s">
        <v>75</v>
      </c>
      <c r="F8" s="53" t="s">
        <v>77</v>
      </c>
      <c r="G8" s="53" t="s">
        <v>79</v>
      </c>
      <c r="H8" s="53" t="s">
        <v>80</v>
      </c>
    </row>
    <row r="9" spans="1:8" x14ac:dyDescent="0.3">
      <c r="B9" s="25" t="s">
        <v>39</v>
      </c>
      <c r="C9" s="25" t="s">
        <v>63</v>
      </c>
      <c r="D9" s="25">
        <v>60</v>
      </c>
      <c r="E9" s="25">
        <v>0</v>
      </c>
      <c r="F9" s="25">
        <v>60</v>
      </c>
      <c r="G9" s="25">
        <v>40</v>
      </c>
      <c r="H9" s="25">
        <v>34.999999999999972</v>
      </c>
    </row>
    <row r="10" spans="1:8" ht="15" thickBot="1" x14ac:dyDescent="0.35">
      <c r="B10" s="23" t="s">
        <v>41</v>
      </c>
      <c r="C10" s="23" t="s">
        <v>64</v>
      </c>
      <c r="D10" s="23">
        <v>295</v>
      </c>
      <c r="E10" s="23">
        <v>0</v>
      </c>
      <c r="F10" s="23">
        <v>50</v>
      </c>
      <c r="G10" s="23">
        <v>69.999999999999972</v>
      </c>
      <c r="H10" s="23">
        <v>20</v>
      </c>
    </row>
    <row r="12" spans="1:8" ht="15" thickBot="1" x14ac:dyDescent="0.35">
      <c r="A12" t="s">
        <v>32</v>
      </c>
    </row>
    <row r="13" spans="1:8" x14ac:dyDescent="0.3">
      <c r="B13" s="52"/>
      <c r="C13" s="52"/>
      <c r="D13" s="52" t="s">
        <v>72</v>
      </c>
      <c r="E13" s="52" t="s">
        <v>81</v>
      </c>
      <c r="F13" s="52" t="s">
        <v>83</v>
      </c>
      <c r="G13" s="52" t="s">
        <v>78</v>
      </c>
      <c r="H13" s="52" t="s">
        <v>78</v>
      </c>
    </row>
    <row r="14" spans="1:8" ht="15" thickBot="1" x14ac:dyDescent="0.35">
      <c r="B14" s="53" t="s">
        <v>26</v>
      </c>
      <c r="C14" s="53" t="s">
        <v>27</v>
      </c>
      <c r="D14" s="53" t="s">
        <v>73</v>
      </c>
      <c r="E14" s="53" t="s">
        <v>82</v>
      </c>
      <c r="F14" s="53" t="s">
        <v>84</v>
      </c>
      <c r="G14" s="53" t="s">
        <v>79</v>
      </c>
      <c r="H14" s="53" t="s">
        <v>80</v>
      </c>
    </row>
    <row r="15" spans="1:8" x14ac:dyDescent="0.3">
      <c r="B15" s="25" t="s">
        <v>42</v>
      </c>
      <c r="C15" s="25" t="s">
        <v>65</v>
      </c>
      <c r="D15" s="25">
        <v>1305</v>
      </c>
      <c r="E15" s="25">
        <v>0</v>
      </c>
      <c r="F15" s="25">
        <v>1365</v>
      </c>
      <c r="G15" s="25">
        <v>1E+30</v>
      </c>
      <c r="H15" s="25">
        <v>60.000000000000071</v>
      </c>
    </row>
    <row r="16" spans="1:8" x14ac:dyDescent="0.3">
      <c r="B16" s="25" t="s">
        <v>44</v>
      </c>
      <c r="C16" s="25" t="s">
        <v>67</v>
      </c>
      <c r="D16" s="25">
        <v>1245</v>
      </c>
      <c r="E16" s="25">
        <v>7.7777777777777786</v>
      </c>
      <c r="F16" s="25">
        <v>1245</v>
      </c>
      <c r="G16" s="25">
        <v>49.090909090909143</v>
      </c>
      <c r="H16" s="25">
        <v>269.99999999999977</v>
      </c>
    </row>
    <row r="17" spans="2:8" ht="15" thickBot="1" x14ac:dyDescent="0.35">
      <c r="B17" s="23" t="s">
        <v>46</v>
      </c>
      <c r="C17" s="23" t="s">
        <v>69</v>
      </c>
      <c r="D17" s="23">
        <v>650</v>
      </c>
      <c r="E17" s="23">
        <v>13.333333333333334</v>
      </c>
      <c r="F17" s="23">
        <v>650</v>
      </c>
      <c r="G17" s="23">
        <v>179.99999999999997</v>
      </c>
      <c r="H17" s="23">
        <v>180.00000000000011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4A25-FA08-4AD1-A286-5E9BA4BD54AB}">
  <dimension ref="A1:J14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55.33203125" bestFit="1" customWidth="1"/>
    <col min="4" max="4" width="6" bestFit="1" customWidth="1"/>
    <col min="5" max="5" width="2.33203125" customWidth="1"/>
    <col min="6" max="6" width="6.109375" bestFit="1" customWidth="1"/>
    <col min="7" max="7" width="9" bestFit="1" customWidth="1"/>
    <col min="8" max="8" width="2.33203125" customWidth="1"/>
    <col min="9" max="9" width="6.21875" bestFit="1" customWidth="1"/>
    <col min="10" max="10" width="9" bestFit="1" customWidth="1"/>
  </cols>
  <sheetData>
    <row r="1" spans="1:10" x14ac:dyDescent="0.3">
      <c r="A1" s="22" t="s">
        <v>85</v>
      </c>
    </row>
    <row r="2" spans="1:10" x14ac:dyDescent="0.3">
      <c r="A2" s="22" t="s">
        <v>61</v>
      </c>
    </row>
    <row r="3" spans="1:10" x14ac:dyDescent="0.3">
      <c r="A3" s="22" t="s">
        <v>62</v>
      </c>
    </row>
    <row r="5" spans="1:10" ht="15" thickBot="1" x14ac:dyDescent="0.35"/>
    <row r="6" spans="1:10" x14ac:dyDescent="0.3">
      <c r="B6" s="52"/>
      <c r="C6" s="52" t="s">
        <v>76</v>
      </c>
      <c r="D6" s="52"/>
    </row>
    <row r="7" spans="1:10" ht="15" thickBot="1" x14ac:dyDescent="0.35">
      <c r="B7" s="53" t="s">
        <v>26</v>
      </c>
      <c r="C7" s="53" t="s">
        <v>27</v>
      </c>
      <c r="D7" s="53" t="s">
        <v>73</v>
      </c>
    </row>
    <row r="8" spans="1:10" ht="15" thickBot="1" x14ac:dyDescent="0.35">
      <c r="B8" s="23" t="s">
        <v>37</v>
      </c>
      <c r="C8" s="23" t="s">
        <v>38</v>
      </c>
      <c r="D8" s="26">
        <v>18350</v>
      </c>
    </row>
    <row r="10" spans="1:10" ht="15" thickBot="1" x14ac:dyDescent="0.35"/>
    <row r="11" spans="1:10" x14ac:dyDescent="0.3">
      <c r="B11" s="52"/>
      <c r="C11" s="52" t="s">
        <v>86</v>
      </c>
      <c r="D11" s="52"/>
      <c r="F11" s="52" t="s">
        <v>87</v>
      </c>
      <c r="G11" s="52" t="s">
        <v>76</v>
      </c>
      <c r="I11" s="52" t="s">
        <v>90</v>
      </c>
      <c r="J11" s="52" t="s">
        <v>76</v>
      </c>
    </row>
    <row r="12" spans="1:10" ht="15" thickBot="1" x14ac:dyDescent="0.35">
      <c r="B12" s="53" t="s">
        <v>26</v>
      </c>
      <c r="C12" s="53" t="s">
        <v>27</v>
      </c>
      <c r="D12" s="53" t="s">
        <v>73</v>
      </c>
      <c r="F12" s="53" t="s">
        <v>88</v>
      </c>
      <c r="G12" s="53" t="s">
        <v>89</v>
      </c>
      <c r="I12" s="53" t="s">
        <v>88</v>
      </c>
      <c r="J12" s="53" t="s">
        <v>89</v>
      </c>
    </row>
    <row r="13" spans="1:10" x14ac:dyDescent="0.3">
      <c r="B13" s="25" t="s">
        <v>39</v>
      </c>
      <c r="C13" s="25" t="s">
        <v>63</v>
      </c>
      <c r="D13" s="27">
        <v>60</v>
      </c>
      <c r="F13" s="27">
        <v>0</v>
      </c>
      <c r="G13" s="27">
        <v>14750</v>
      </c>
      <c r="I13" s="27">
        <v>60</v>
      </c>
      <c r="J13" s="27">
        <v>18350</v>
      </c>
    </row>
    <row r="14" spans="1:10" ht="15" thickBot="1" x14ac:dyDescent="0.35">
      <c r="B14" s="23" t="s">
        <v>41</v>
      </c>
      <c r="C14" s="23" t="s">
        <v>64</v>
      </c>
      <c r="D14" s="26">
        <v>295</v>
      </c>
      <c r="F14" s="26">
        <v>0</v>
      </c>
      <c r="G14" s="26">
        <v>3600</v>
      </c>
      <c r="I14" s="26">
        <v>295</v>
      </c>
      <c r="J14" s="26">
        <v>18350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Answer Report 2</vt:lpstr>
      <vt:lpstr>Sensitivity Report 2</vt:lpstr>
      <vt:lpstr>Limits Report 2</vt:lpstr>
      <vt:lpstr>Answer Report 3</vt:lpstr>
      <vt:lpstr>Sensitivity Report 3</vt:lpstr>
      <vt:lpstr>Limits Report 3</vt:lpstr>
      <vt:lpstr>Sheet1</vt:lpstr>
      <vt:lpstr>Answer Report 1</vt:lpstr>
      <vt:lpstr>Sensitivity Report 1</vt:lpstr>
      <vt:lpstr>Limits Report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Naryvonchyk</dc:creator>
  <cp:lastModifiedBy>Andrei Naryvonchyk</cp:lastModifiedBy>
  <dcterms:created xsi:type="dcterms:W3CDTF">2015-06-05T18:17:20Z</dcterms:created>
  <dcterms:modified xsi:type="dcterms:W3CDTF">2025-10-19T17:14:17Z</dcterms:modified>
</cp:coreProperties>
</file>