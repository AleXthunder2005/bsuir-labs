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ndrey Naryvonchyk\Desktop\5 семестр\МАТПРОГ\Лабораторная работа 3\"/>
    </mc:Choice>
  </mc:AlternateContent>
  <xr:revisionPtr revIDLastSave="0" documentId="13_ncr:1_{10E03E02-47C4-497A-A2F3-86FFB5148F7E}" xr6:coauthVersionLast="47" xr6:coauthVersionMax="47" xr10:uidLastSave="{00000000-0000-0000-0000-000000000000}"/>
  <bookViews>
    <workbookView xWindow="-108" yWindow="-108" windowWidth="23256" windowHeight="12576" firstSheet="6" activeTab="6" xr2:uid="{00000000-000D-0000-FFFF-FFFF00000000}"/>
  </bookViews>
  <sheets>
    <sheet name="Answer Report 1" sheetId="2" state="hidden" r:id="rId1"/>
    <sheet name="Sensitivity Report 1" sheetId="3" state="hidden" r:id="rId2"/>
    <sheet name="Limits Report 1" sheetId="4" state="hidden" r:id="rId3"/>
    <sheet name="Answer Report 2" sheetId="5" state="hidden" r:id="rId4"/>
    <sheet name="Sensitivity Report 2" sheetId="6" state="hidden" r:id="rId5"/>
    <sheet name="Limits Report 2" sheetId="7" state="hidden" r:id="rId6"/>
    <sheet name="Задача 1" sheetId="1" r:id="rId7"/>
    <sheet name="Задача 2" sheetId="8" r:id="rId8"/>
  </sheets>
  <definedNames>
    <definedName name="solver_adj" localSheetId="6" hidden="1">'Задача 1'!$O$88:$R$92</definedName>
    <definedName name="solver_adj" localSheetId="7" hidden="1">'Задача 2'!$M$30:$Q$35</definedName>
    <definedName name="solver_cvg" localSheetId="6" hidden="1">0.0001</definedName>
    <definedName name="solver_cvg" localSheetId="7" hidden="1">0.0001</definedName>
    <definedName name="solver_drv" localSheetId="6" hidden="1">2</definedName>
    <definedName name="solver_drv" localSheetId="7" hidden="1">1</definedName>
    <definedName name="solver_eng" localSheetId="6" hidden="1">2</definedName>
    <definedName name="solver_eng" localSheetId="7" hidden="1">2</definedName>
    <definedName name="solver_est" localSheetId="6" hidden="1">1</definedName>
    <definedName name="solver_est" localSheetId="7" hidden="1">1</definedName>
    <definedName name="solver_itr" localSheetId="6" hidden="1">2147483647</definedName>
    <definedName name="solver_itr" localSheetId="7" hidden="1">2147483647</definedName>
    <definedName name="solver_lhs0" localSheetId="6" hidden="1">'Задача 1'!$O$88:$R$92</definedName>
    <definedName name="solver_lhs1" localSheetId="6" hidden="1">'Задача 1'!$O$88:$R$92</definedName>
    <definedName name="solver_lhs1" localSheetId="7" hidden="1">'Задача 2'!$M$30:$Q$35</definedName>
    <definedName name="solver_lhs2" localSheetId="6" hidden="1">'Задача 1'!$O$93:$R$93</definedName>
    <definedName name="solver_lhs2" localSheetId="7" hidden="1">'Задача 2'!$M$36:$Q$36</definedName>
    <definedName name="solver_lhs3" localSheetId="6" hidden="1">'Задача 1'!$P$90</definedName>
    <definedName name="solver_lhs3" localSheetId="7" hidden="1">'Задача 2'!$R$30:$R$35</definedName>
    <definedName name="solver_lhs4" localSheetId="6" hidden="1">'Задача 1'!$S$88:$S$92</definedName>
    <definedName name="solver_lhs5" localSheetId="6" hidden="1">'Задача 1'!$Q$91</definedName>
    <definedName name="solver_mip" localSheetId="6" hidden="1">2147483647</definedName>
    <definedName name="solver_mip" localSheetId="7" hidden="1">2147483647</definedName>
    <definedName name="solver_mni" localSheetId="6" hidden="1">30</definedName>
    <definedName name="solver_mni" localSheetId="7" hidden="1">30</definedName>
    <definedName name="solver_mrt" localSheetId="6" hidden="1">0.075</definedName>
    <definedName name="solver_mrt" localSheetId="7" hidden="1">0.075</definedName>
    <definedName name="solver_msl" localSheetId="6" hidden="1">2</definedName>
    <definedName name="solver_msl" localSheetId="7" hidden="1">2</definedName>
    <definedName name="solver_neg" localSheetId="6" hidden="1">1</definedName>
    <definedName name="solver_neg" localSheetId="7" hidden="1">1</definedName>
    <definedName name="solver_nod" localSheetId="6" hidden="1">2147483647</definedName>
    <definedName name="solver_nod" localSheetId="7" hidden="1">2147483647</definedName>
    <definedName name="solver_num" localSheetId="6" hidden="1">4</definedName>
    <definedName name="solver_num" localSheetId="7" hidden="1">3</definedName>
    <definedName name="solver_nwt" localSheetId="6" hidden="1">1</definedName>
    <definedName name="solver_nwt" localSheetId="7" hidden="1">1</definedName>
    <definedName name="solver_opt" localSheetId="6" hidden="1">'Задача 1'!$O$96</definedName>
    <definedName name="solver_opt" localSheetId="7" hidden="1">'Задача 2'!$S$37</definedName>
    <definedName name="solver_pre" localSheetId="6" hidden="1">0.000001</definedName>
    <definedName name="solver_pre" localSheetId="7" hidden="1">0.000001</definedName>
    <definedName name="solver_rbv" localSheetId="6" hidden="1">2</definedName>
    <definedName name="solver_rbv" localSheetId="7" hidden="1">1</definedName>
    <definedName name="solver_rel0" localSheetId="6" hidden="1">3</definedName>
    <definedName name="solver_rel1" localSheetId="6" hidden="1">3</definedName>
    <definedName name="solver_rel1" localSheetId="7" hidden="1">3</definedName>
    <definedName name="solver_rel2" localSheetId="6" hidden="1">2</definedName>
    <definedName name="solver_rel2" localSheetId="7" hidden="1">2</definedName>
    <definedName name="solver_rel3" localSheetId="6" hidden="1">1</definedName>
    <definedName name="solver_rel3" localSheetId="7" hidden="1">2</definedName>
    <definedName name="solver_rel4" localSheetId="6" hidden="1">2</definedName>
    <definedName name="solver_rel5" localSheetId="6" hidden="1">3</definedName>
    <definedName name="solver_rhs0" localSheetId="6" hidden="1">0</definedName>
    <definedName name="solver_rhs1" localSheetId="6" hidden="1">0</definedName>
    <definedName name="solver_rhs1" localSheetId="7" hidden="1">0</definedName>
    <definedName name="solver_rhs2" localSheetId="6" hidden="1">'Задача 1'!$O$94:$R$94</definedName>
    <definedName name="solver_rhs2" localSheetId="7" hidden="1">'Задача 2'!$M$37:$Q$37</definedName>
    <definedName name="solver_rhs3" localSheetId="6" hidden="1">100</definedName>
    <definedName name="solver_rhs3" localSheetId="7" hidden="1">'Задача 2'!$S$30:$S$35</definedName>
    <definedName name="solver_rhs4" localSheetId="6" hidden="1">'Задача 1'!$T$88:$T$92</definedName>
    <definedName name="solver_rhs5" localSheetId="6" hidden="1">100</definedName>
    <definedName name="solver_rlx" localSheetId="6" hidden="1">2</definedName>
    <definedName name="solver_rlx" localSheetId="7" hidden="1">2</definedName>
    <definedName name="solver_rsd" localSheetId="6" hidden="1">0</definedName>
    <definedName name="solver_rsd" localSheetId="7" hidden="1">0</definedName>
    <definedName name="solver_scl" localSheetId="6" hidden="1">2</definedName>
    <definedName name="solver_scl" localSheetId="7" hidden="1">1</definedName>
    <definedName name="solver_sho" localSheetId="2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sz" localSheetId="6" hidden="1">100</definedName>
    <definedName name="solver_ssz" localSheetId="7" hidden="1">100</definedName>
    <definedName name="solver_tim" localSheetId="6" hidden="1">2147483647</definedName>
    <definedName name="solver_tim" localSheetId="7" hidden="1">2147483647</definedName>
    <definedName name="solver_tol" localSheetId="6" hidden="1">0.01</definedName>
    <definedName name="solver_tol" localSheetId="7" hidden="1">0.01</definedName>
    <definedName name="solver_typ" localSheetId="6" hidden="1">2</definedName>
    <definedName name="solver_typ" localSheetId="7" hidden="1">2</definedName>
    <definedName name="solver_val" localSheetId="6" hidden="1">0</definedName>
    <definedName name="solver_val" localSheetId="7" hidden="1">0</definedName>
    <definedName name="solver_ver" localSheetId="6" hidden="1">3</definedName>
    <definedName name="solver_ver" localSheetId="7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7" i="8" l="1"/>
  <c r="Q36" i="8"/>
  <c r="N36" i="8"/>
  <c r="O36" i="8"/>
  <c r="P36" i="8"/>
  <c r="M36" i="8"/>
  <c r="R35" i="8"/>
  <c r="R31" i="8"/>
  <c r="R32" i="8"/>
  <c r="R33" i="8"/>
  <c r="R34" i="8"/>
  <c r="R30" i="8"/>
  <c r="O96" i="1"/>
  <c r="R93" i="1"/>
  <c r="Q93" i="1"/>
  <c r="P93" i="1"/>
  <c r="O93" i="1"/>
  <c r="S92" i="1"/>
  <c r="S91" i="1"/>
  <c r="S90" i="1"/>
  <c r="S89" i="1"/>
  <c r="S88" i="1"/>
  <c r="D96" i="1"/>
  <c r="E93" i="1"/>
  <c r="D93" i="1"/>
  <c r="H92" i="1"/>
  <c r="H91" i="1"/>
  <c r="H88" i="1"/>
  <c r="G93" i="1"/>
  <c r="F93" i="1"/>
  <c r="H90" i="1"/>
  <c r="H89" i="1"/>
</calcChain>
</file>

<file path=xl/sharedStrings.xml><?xml version="1.0" encoding="utf-8"?>
<sst xmlns="http://schemas.openxmlformats.org/spreadsheetml/2006/main" count="1032" uniqueCount="247">
  <si>
    <t>Наривончик Александр</t>
  </si>
  <si>
    <t>Вариант 22</t>
  </si>
  <si>
    <t>Задание 2</t>
  </si>
  <si>
    <t>ai\bj</t>
  </si>
  <si>
    <t>Метод минимального элемента</t>
  </si>
  <si>
    <t>1              150</t>
  </si>
  <si>
    <t>2           150</t>
  </si>
  <si>
    <t>Метод потенциалов</t>
  </si>
  <si>
    <t xml:space="preserve">Ui 
Vi       </t>
  </si>
  <si>
    <t>u2 = 0</t>
  </si>
  <si>
    <t>v1 = 6</t>
  </si>
  <si>
    <t>v3 = 8</t>
  </si>
  <si>
    <t>u1 = -2</t>
  </si>
  <si>
    <t>u5 = -8</t>
  </si>
  <si>
    <t>1               0</t>
  </si>
  <si>
    <t>4                50</t>
  </si>
  <si>
    <t>8             100</t>
  </si>
  <si>
    <t>4                  0</t>
  </si>
  <si>
    <t>4                 50</t>
  </si>
  <si>
    <t>6                0</t>
  </si>
  <si>
    <t>0                 100</t>
  </si>
  <si>
    <t>u4 = -4</t>
  </si>
  <si>
    <t>v2 = 6</t>
  </si>
  <si>
    <t>u3 = -5</t>
  </si>
  <si>
    <t>v4 = 6</t>
  </si>
  <si>
    <t>3           100</t>
  </si>
  <si>
    <t>4                  100</t>
  </si>
  <si>
    <t>2            50</t>
  </si>
  <si>
    <t>v2 = 3</t>
  </si>
  <si>
    <t>u3 = -2</t>
  </si>
  <si>
    <t>u4 = -1</t>
  </si>
  <si>
    <t>v3 = 5</t>
  </si>
  <si>
    <t>u5 = -5</t>
  </si>
  <si>
    <t>u1 = 1</t>
  </si>
  <si>
    <t>v1 = 3</t>
  </si>
  <si>
    <t>v4 = 3</t>
  </si>
  <si>
    <t>Оптимальный план</t>
  </si>
  <si>
    <t>b1</t>
  </si>
  <si>
    <t>b2</t>
  </si>
  <si>
    <t>b3</t>
  </si>
  <si>
    <t>b4</t>
  </si>
  <si>
    <t>a1</t>
  </si>
  <si>
    <t>a2</t>
  </si>
  <si>
    <t>a3</t>
  </si>
  <si>
    <t>a4</t>
  </si>
  <si>
    <t>a5</t>
  </si>
  <si>
    <t>Σ(ai)</t>
  </si>
  <si>
    <t>Σ(bi)</t>
  </si>
  <si>
    <t>Спрос</t>
  </si>
  <si>
    <t>Z(X)</t>
  </si>
  <si>
    <t>Решение на компьютере</t>
  </si>
  <si>
    <t>Предложение</t>
  </si>
  <si>
    <t>Microsoft Excel 16.0 Answer Report</t>
  </si>
  <si>
    <t>Worksheet: [ЛР3.xlsx]Sheet1</t>
  </si>
  <si>
    <t>Report Created: 31.10.2025 20:50:25</t>
  </si>
  <si>
    <t>Result: Solver found a solution.  All Constraints and optimality conditions are satisfied.</t>
  </si>
  <si>
    <t>Solver Engine</t>
  </si>
  <si>
    <t>Engine: GRG Nonlinear</t>
  </si>
  <si>
    <t>Solution Time: 0,437 Seconds.</t>
  </si>
  <si>
    <t>Iterations: 22 Subproblems: 0</t>
  </si>
  <si>
    <t>Solver Options</t>
  </si>
  <si>
    <t>Max Time Unlimited,  Iterations Unlimited, Precision 0,000001</t>
  </si>
  <si>
    <t xml:space="preserve"> Convergence 0,0001, Population Size 100, Random Seed 0, Derivatives Central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</si>
  <si>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</si>
  <si>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</si>
  <si>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</si>
  <si>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</si>
  <si>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</si>
  <si>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</si>
  <si>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</si>
  <si>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</si>
  <si>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</si>
  <si>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</si>
  <si>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</si>
  <si>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</si>
  <si>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</si>
  <si>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$D$98</t>
  </si>
  <si>
    <t>Z(X) b1</t>
  </si>
  <si>
    <t>$D$88</t>
  </si>
  <si>
    <t>a1 b1</t>
  </si>
  <si>
    <t>Contin</t>
  </si>
  <si>
    <t>$E$88</t>
  </si>
  <si>
    <t>a1 b2</t>
  </si>
  <si>
    <t>$F$88</t>
  </si>
  <si>
    <t>a1 b3</t>
  </si>
  <si>
    <t>$G$88</t>
  </si>
  <si>
    <t>a1 b4</t>
  </si>
  <si>
    <t>$D$89</t>
  </si>
  <si>
    <t>a2 b1</t>
  </si>
  <si>
    <t>$E$89</t>
  </si>
  <si>
    <t>a2 b2</t>
  </si>
  <si>
    <t>$F$89</t>
  </si>
  <si>
    <t>a2 b3</t>
  </si>
  <si>
    <t>$G$89</t>
  </si>
  <si>
    <t>a2 b4</t>
  </si>
  <si>
    <t>$D$90</t>
  </si>
  <si>
    <t>a3 b1</t>
  </si>
  <si>
    <t>$E$90</t>
  </si>
  <si>
    <t>a3 b2</t>
  </si>
  <si>
    <t>$F$90</t>
  </si>
  <si>
    <t>a3 b3</t>
  </si>
  <si>
    <t>$G$90</t>
  </si>
  <si>
    <t>a3 b4</t>
  </si>
  <si>
    <t>$D$91</t>
  </si>
  <si>
    <t>a4 b1</t>
  </si>
  <si>
    <t>$E$91</t>
  </si>
  <si>
    <t>a4 b2</t>
  </si>
  <si>
    <t>$F$91</t>
  </si>
  <si>
    <t>a4 b3</t>
  </si>
  <si>
    <t>$G$91</t>
  </si>
  <si>
    <t>a4 b4</t>
  </si>
  <si>
    <t>$D$92</t>
  </si>
  <si>
    <t>a5 b1</t>
  </si>
  <si>
    <t>$E$92</t>
  </si>
  <si>
    <t>a5 b2</t>
  </si>
  <si>
    <t>$F$92</t>
  </si>
  <si>
    <t>a5 b3</t>
  </si>
  <si>
    <t>$G$92</t>
  </si>
  <si>
    <t>a5 b4</t>
  </si>
  <si>
    <t>$D$93</t>
  </si>
  <si>
    <t>Σ(bi) b1</t>
  </si>
  <si>
    <t>$D$93=$D$94</t>
  </si>
  <si>
    <t>Binding</t>
  </si>
  <si>
    <t>$E$93</t>
  </si>
  <si>
    <t>Σ(bi) b2</t>
  </si>
  <si>
    <t>$E$93=$E$94</t>
  </si>
  <si>
    <t>$F$93</t>
  </si>
  <si>
    <t>Σ(bi) b3</t>
  </si>
  <si>
    <t>$F$93=$F$94</t>
  </si>
  <si>
    <t>$G$93</t>
  </si>
  <si>
    <t>Σ(bi) b4</t>
  </si>
  <si>
    <t>$G$93=$G$94</t>
  </si>
  <si>
    <t>$H$88</t>
  </si>
  <si>
    <t>a1 Σ(ai)</t>
  </si>
  <si>
    <t>$H$88=$I$88</t>
  </si>
  <si>
    <t>$H$89</t>
  </si>
  <si>
    <t>a2 Σ(ai)</t>
  </si>
  <si>
    <t>$H$89=$I$89</t>
  </si>
  <si>
    <t>$H$90</t>
  </si>
  <si>
    <t>a3 Σ(ai)</t>
  </si>
  <si>
    <t>$H$90=$I$90</t>
  </si>
  <si>
    <t>$H$91</t>
  </si>
  <si>
    <t>a4 Σ(ai)</t>
  </si>
  <si>
    <t>$H$91=$I$91</t>
  </si>
  <si>
    <t>$H$92</t>
  </si>
  <si>
    <t>a5 Σ(ai)</t>
  </si>
  <si>
    <t>$H$92=$I$92</t>
  </si>
  <si>
    <t>$D$88&gt;=0</t>
  </si>
  <si>
    <t>Not Binding</t>
  </si>
  <si>
    <t>$E$88&gt;=0</t>
  </si>
  <si>
    <t>$F$88&gt;=0</t>
  </si>
  <si>
    <t>$G$88&gt;=0</t>
  </si>
  <si>
    <t>$D$89&gt;=0</t>
  </si>
  <si>
    <t>$E$89&gt;=0</t>
  </si>
  <si>
    <t>$F$89&gt;=0</t>
  </si>
  <si>
    <t>$G$89&gt;=0</t>
  </si>
  <si>
    <t>$D$90&gt;=0</t>
  </si>
  <si>
    <t>$E$90&gt;=0</t>
  </si>
  <si>
    <t>$F$90&gt;=0</t>
  </si>
  <si>
    <t>$G$90&gt;=0</t>
  </si>
  <si>
    <t>$D$91&gt;=0</t>
  </si>
  <si>
    <t>$E$91&gt;=0</t>
  </si>
  <si>
    <t>$F$91&gt;=0</t>
  </si>
  <si>
    <t>$G$91&gt;=0</t>
  </si>
  <si>
    <t>$D$92&gt;=0</t>
  </si>
  <si>
    <t>$E$92&gt;=0</t>
  </si>
  <si>
    <t>$F$92&gt;=0</t>
  </si>
  <si>
    <t>$G$92&gt;=0</t>
  </si>
  <si>
    <t>Microsoft Excel 16.0 Sensitivity Report</t>
  </si>
  <si>
    <t>Report Created: 31.10.2025 20:50:26</t>
  </si>
  <si>
    <t>Final</t>
  </si>
  <si>
    <t>Value</t>
  </si>
  <si>
    <t>Reduced</t>
  </si>
  <si>
    <t>Gradient</t>
  </si>
  <si>
    <t>Lagrange</t>
  </si>
  <si>
    <t>Multiplier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</si>
  <si>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</si>
  <si>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</si>
  <si>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</si>
  <si>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</si>
  <si>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</si>
  <si>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</si>
  <si>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</si>
  <si>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Report Created: 31.10.2025 20:55:36</t>
  </si>
  <si>
    <t>Engine: Simplex LP</t>
  </si>
  <si>
    <t>Solution Time: 0,031 Seconds.</t>
  </si>
  <si>
    <t>Iterations: 15 Subproblems: 0</t>
  </si>
  <si>
    <t>Report Created: 31.10.2025 20:55:37</t>
  </si>
  <si>
    <t>Cost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</si>
  <si>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</si>
  <si>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</si>
  <si>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</si>
  <si>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</si>
  <si>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</si>
  <si>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</si>
  <si>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</si>
  <si>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</si>
  <si>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Задание 3</t>
  </si>
  <si>
    <t>М</t>
  </si>
  <si>
    <t>1          150</t>
  </si>
  <si>
    <t>1              0</t>
  </si>
  <si>
    <t>2                   50</t>
  </si>
  <si>
    <t>3               50</t>
  </si>
  <si>
    <t>3                         50</t>
  </si>
  <si>
    <t>5               0</t>
  </si>
  <si>
    <t>6                   0</t>
  </si>
  <si>
    <t>0                         100</t>
  </si>
  <si>
    <t>Расчет потенциалов</t>
  </si>
  <si>
    <t>u1 = 0</t>
  </si>
  <si>
    <t>v1 =  4</t>
  </si>
  <si>
    <t>v2 = 5</t>
  </si>
  <si>
    <t>u2 = -2</t>
  </si>
  <si>
    <t>u3 = -4</t>
  </si>
  <si>
    <t>u4 = -3</t>
  </si>
  <si>
    <t>u5 = -6</t>
  </si>
  <si>
    <t>v5 =5</t>
  </si>
  <si>
    <t>v5 = 5</t>
  </si>
  <si>
    <t>d1</t>
  </si>
  <si>
    <t>d2</t>
  </si>
  <si>
    <t>d3</t>
  </si>
  <si>
    <t xml:space="preserve"> </t>
  </si>
  <si>
    <t>Поставщики-базы (тарифы)</t>
  </si>
  <si>
    <t>Базы-Потребители (тарифы)</t>
  </si>
  <si>
    <t>Матрица тарифов</t>
  </si>
  <si>
    <t>Решение</t>
  </si>
  <si>
    <t>S</t>
  </si>
  <si>
    <t xml:space="preserve">Поставщики-базы </t>
  </si>
  <si>
    <t>14 / 350</t>
  </si>
  <si>
    <t>16 / 240</t>
  </si>
  <si>
    <t>18 / 10</t>
  </si>
  <si>
    <t>22 / 30</t>
  </si>
  <si>
    <t>23 / 120</t>
  </si>
  <si>
    <t>0 / 300</t>
  </si>
  <si>
    <t>Vi         Ui</t>
  </si>
  <si>
    <t>v3 = 23</t>
  </si>
  <si>
    <t>v1 = 18</t>
  </si>
  <si>
    <t>u3 = -1</t>
  </si>
  <si>
    <t>v2 = 15</t>
  </si>
  <si>
    <t>u4 = -23</t>
  </si>
  <si>
    <t>Базы-Потребители</t>
  </si>
  <si>
    <t>10 / 350</t>
  </si>
  <si>
    <t>12 / 50</t>
  </si>
  <si>
    <t>16 / 250</t>
  </si>
  <si>
    <t>18 / 100</t>
  </si>
  <si>
    <t>v1 = 16</t>
  </si>
  <si>
    <t>u3 = 2</t>
  </si>
  <si>
    <t>v2 =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</si>
</sst>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499984740745262"/>
        <bgColor indexed="64"/>
      </patternFill>
    </fill>
  </fills>
  <borders count="7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/>
      <right style="medium">
        <color indexed="64"/>
      </right>
      <top/>
      <bottom style="medium">
        <color indexed="64"/>
      </bottom>
      <diagonal style="medium">
        <color indexed="64"/>
      </diagonal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</borders>
  <cellStyleXfs count="1">
    <xf numFmtId="0" fontId="0" fillId="0" borderId="0"/>
  </cellStyleXfs>
  <cellXfs count="235">
    <xf numFmtId="0" fontId="0" fillId="0" borderId="0" xfId="0"/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wrapText="1"/>
    </xf>
    <xf numFmtId="0" fontId="0" fillId="0" borderId="33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/>
    <xf numFmtId="0" fontId="0" fillId="0" borderId="0" xfId="0" applyAlignment="1">
      <alignment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0" fillId="6" borderId="47" xfId="0" applyFill="1" applyBorder="1" applyAlignment="1">
      <alignment horizontal="center" vertical="center"/>
    </xf>
    <xf numFmtId="0" fontId="0" fillId="6" borderId="48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7" borderId="33" xfId="0" applyFill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8" borderId="43" xfId="0" applyFill="1" applyBorder="1" applyAlignment="1">
      <alignment horizontal="center" vertical="center"/>
    </xf>
    <xf numFmtId="0" fontId="1" fillId="0" borderId="0" xfId="0" applyFont="1"/>
    <xf numFmtId="0" fontId="0" fillId="0" borderId="53" xfId="0" applyFill="1" applyBorder="1" applyAlignment="1"/>
    <xf numFmtId="0" fontId="2" fillId="0" borderId="52" xfId="0" applyFont="1" applyFill="1" applyBorder="1" applyAlignment="1">
      <alignment horizontal="center"/>
    </xf>
    <xf numFmtId="0" fontId="0" fillId="0" borderId="54" xfId="0" applyFill="1" applyBorder="1" applyAlignment="1"/>
    <xf numFmtId="0" fontId="0" fillId="0" borderId="53" xfId="0" applyNumberFormat="1" applyFill="1" applyBorder="1" applyAlignment="1"/>
    <xf numFmtId="0" fontId="0" fillId="0" borderId="54" xfId="0" applyNumberFormat="1" applyFill="1" applyBorder="1" applyAlignment="1"/>
    <xf numFmtId="0" fontId="2" fillId="0" borderId="50" xfId="0" applyFont="1" applyFill="1" applyBorder="1" applyAlignment="1">
      <alignment horizontal="center"/>
    </xf>
    <xf numFmtId="0" fontId="2" fillId="0" borderId="51" xfId="0" applyFont="1" applyFill="1" applyBorder="1" applyAlignment="1">
      <alignment horizontal="center"/>
    </xf>
    <xf numFmtId="0" fontId="0" fillId="9" borderId="15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12" borderId="18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8" borderId="39" xfId="0" applyFill="1" applyBorder="1" applyAlignment="1">
      <alignment horizontal="center" vertical="center" wrapText="1"/>
    </xf>
    <xf numFmtId="0" fontId="0" fillId="0" borderId="33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14" borderId="9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57" xfId="0" applyFill="1" applyBorder="1" applyAlignment="1">
      <alignment horizontal="center" vertical="center"/>
    </xf>
    <xf numFmtId="0" fontId="0" fillId="7" borderId="48" xfId="0" applyFill="1" applyBorder="1" applyAlignment="1">
      <alignment horizontal="center" vertical="center"/>
    </xf>
    <xf numFmtId="0" fontId="0" fillId="7" borderId="47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7" borderId="64" xfId="0" applyFill="1" applyBorder="1" applyAlignment="1">
      <alignment horizontal="center" vertical="center"/>
    </xf>
    <xf numFmtId="0" fontId="0" fillId="7" borderId="65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0" xfId="0" applyBorder="1" applyAlignment="1"/>
    <xf numFmtId="0" fontId="0" fillId="0" borderId="33" xfId="0" applyFill="1" applyBorder="1" applyAlignment="1">
      <alignment horizontal="center" vertical="center"/>
    </xf>
    <xf numFmtId="0" fontId="0" fillId="15" borderId="67" xfId="0" applyFill="1" applyBorder="1" applyAlignment="1">
      <alignment horizontal="center" vertical="center"/>
    </xf>
    <xf numFmtId="0" fontId="0" fillId="7" borderId="68" xfId="0" applyFill="1" applyBorder="1" applyAlignment="1">
      <alignment horizontal="center" vertical="center"/>
    </xf>
    <xf numFmtId="0" fontId="0" fillId="7" borderId="69" xfId="0" applyFill="1" applyBorder="1" applyAlignment="1">
      <alignment horizontal="center" vertical="center"/>
    </xf>
    <xf numFmtId="0" fontId="0" fillId="7" borderId="70" xfId="0" applyFill="1" applyBorder="1" applyAlignment="1">
      <alignment horizontal="center" vertical="center"/>
    </xf>
    <xf numFmtId="0" fontId="0" fillId="7" borderId="71" xfId="0" applyFill="1" applyBorder="1" applyAlignment="1">
      <alignment horizontal="center" vertical="center"/>
    </xf>
    <xf numFmtId="0" fontId="0" fillId="7" borderId="66" xfId="0" applyFill="1" applyBorder="1" applyAlignment="1">
      <alignment horizontal="center" vertical="center"/>
    </xf>
    <xf numFmtId="0" fontId="0" fillId="0" borderId="33" xfId="0" applyBorder="1"/>
    <xf numFmtId="0" fontId="0" fillId="0" borderId="15" xfId="0" applyBorder="1"/>
    <xf numFmtId="0" fontId="0" fillId="0" borderId="16" xfId="0" applyBorder="1"/>
    <xf numFmtId="0" fontId="0" fillId="0" borderId="37" xfId="0" applyBorder="1"/>
    <xf numFmtId="0" fontId="0" fillId="0" borderId="20" xfId="0" applyBorder="1"/>
    <xf numFmtId="0" fontId="0" fillId="0" borderId="13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3" xfId="0" applyFill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0" fillId="13" borderId="40" xfId="0" applyFill="1" applyBorder="1" applyAlignment="1">
      <alignment horizontal="center" vertical="center"/>
    </xf>
    <xf numFmtId="0" fontId="0" fillId="13" borderId="41" xfId="0" applyFill="1" applyBorder="1" applyAlignment="1">
      <alignment horizontal="center" vertical="center"/>
    </xf>
    <xf numFmtId="0" fontId="0" fillId="13" borderId="22" xfId="0" applyFill="1" applyBorder="1" applyAlignment="1">
      <alignment horizontal="center" vertical="center"/>
    </xf>
    <xf numFmtId="0" fontId="0" fillId="13" borderId="42" xfId="0" applyFill="1" applyBorder="1" applyAlignment="1">
      <alignment horizontal="center" vertical="center"/>
    </xf>
    <xf numFmtId="0" fontId="0" fillId="13" borderId="43" xfId="0" applyFill="1" applyBorder="1" applyAlignment="1">
      <alignment horizontal="center" vertical="center"/>
    </xf>
    <xf numFmtId="0" fontId="0" fillId="13" borderId="2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29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 wrapText="1"/>
    </xf>
    <xf numFmtId="16" fontId="0" fillId="3" borderId="8" xfId="0" quotePrefix="1" applyNumberFormat="1" applyFill="1" applyBorder="1" applyAlignment="1">
      <alignment horizontal="center" vertical="center" wrapText="1"/>
    </xf>
    <xf numFmtId="0" fontId="0" fillId="0" borderId="72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/>
    </xf>
    <xf numFmtId="0" fontId="0" fillId="0" borderId="23" xfId="0" applyBorder="1"/>
    <xf numFmtId="0" fontId="0" fillId="0" borderId="73" xfId="0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3" borderId="29" xfId="0" quotePrefix="1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0" borderId="0" xfId="0" applyFill="1" applyBorder="1" applyAlignment="1"/>
    <xf numFmtId="0" fontId="0" fillId="5" borderId="19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140C6-AE30-4D15-ACCB-466CAD66AD74}">
  <dimension ref="A1:G73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6.88671875" bestFit="1" customWidth="1"/>
    <col min="4" max="4" width="12.6640625" bestFit="1" customWidth="1"/>
    <col min="5" max="5" width="12.44140625" bestFit="1" customWidth="1"/>
    <col min="6" max="6" width="10.44140625" bestFit="1" customWidth="1"/>
    <col min="7" max="7" width="11" bestFit="1" customWidth="1"/>
  </cols>
  <sheetData>
    <row r="1" spans="1:5" x14ac:dyDescent="0.3">
      <c r="A1" s="93" t="s">
        <v>52</v>
      </c>
    </row>
    <row r="2" spans="1:5" x14ac:dyDescent="0.3">
      <c r="A2" s="93" t="s">
        <v>53</v>
      </c>
    </row>
    <row r="3" spans="1:5" x14ac:dyDescent="0.3">
      <c r="A3" s="93" t="s">
        <v>54</v>
      </c>
    </row>
    <row r="4" spans="1:5" x14ac:dyDescent="0.3">
      <c r="A4" s="93" t="s">
        <v>55</v>
      </c>
    </row>
    <row r="5" spans="1:5" x14ac:dyDescent="0.3">
      <c r="A5" s="93" t="s">
        <v>56</v>
      </c>
    </row>
    <row r="6" spans="1:5" x14ac:dyDescent="0.3">
      <c r="A6" s="93"/>
      <c r="B6" t="s">
        <v>57</v>
      </c>
    </row>
    <row r="7" spans="1:5" x14ac:dyDescent="0.3">
      <c r="A7" s="93"/>
      <c r="B7" t="s">
        <v>58</v>
      </c>
    </row>
    <row r="8" spans="1:5" x14ac:dyDescent="0.3">
      <c r="A8" s="93"/>
      <c r="B8" t="s">
        <v>59</v>
      </c>
    </row>
    <row r="9" spans="1:5" x14ac:dyDescent="0.3">
      <c r="A9" s="93" t="s">
        <v>60</v>
      </c>
    </row>
    <row r="10" spans="1:5" x14ac:dyDescent="0.3">
      <c r="B10" t="s">
        <v>61</v>
      </c>
    </row>
    <row r="11" spans="1:5" x14ac:dyDescent="0.3">
      <c r="B11" t="s">
        <v>62</v>
      </c>
    </row>
    <row r="12" spans="1:5" x14ac:dyDescent="0.3">
      <c r="B12" t="s">
        <v>63</v>
      </c>
    </row>
    <row r="14" spans="1:5" ht="15" thickBot="1" x14ac:dyDescent="0.35">
      <c r="A14" t="s">
        <v>64</v>
      </c>
    </row>
    <row r="15" spans="1:5" ht="15" thickBot="1" x14ac:dyDescent="0.35">
      <c r="B15" s="95" t="s">
        <v>65</v>
      </c>
      <c r="C15" s="95" t="s">
        <v>66</v>
      </c>
      <c r="D15" s="95" t="s">
        <v>67</v>
      </c>
      <c r="E15" s="95" t="s">
        <v>68</v>
      </c>
    </row>
    <row r="16" spans="1:5" ht="15" thickBot="1" x14ac:dyDescent="0.35">
      <c r="B16" s="94" t="s">
        <v>76</v>
      </c>
      <c r="C16" s="94" t="s">
        <v>77</v>
      </c>
      <c r="D16" s="97">
        <v>3889</v>
      </c>
      <c r="E16" s="97">
        <v>4100</v>
      </c>
    </row>
    <row r="19" spans="1:6" ht="15" thickBot="1" x14ac:dyDescent="0.35">
      <c r="A19" t="s">
        <v>69</v>
      </c>
    </row>
    <row r="20" spans="1:6" ht="15" thickBot="1" x14ac:dyDescent="0.35">
      <c r="B20" s="95" t="s">
        <v>65</v>
      </c>
      <c r="C20" s="95" t="s">
        <v>66</v>
      </c>
      <c r="D20" s="95" t="s">
        <v>67</v>
      </c>
      <c r="E20" s="95" t="s">
        <v>68</v>
      </c>
      <c r="F20" s="95" t="s">
        <v>70</v>
      </c>
    </row>
    <row r="21" spans="1:6" x14ac:dyDescent="0.3">
      <c r="B21" s="96" t="s">
        <v>78</v>
      </c>
      <c r="C21" s="96" t="s">
        <v>79</v>
      </c>
      <c r="D21" s="98">
        <v>4</v>
      </c>
      <c r="E21" s="98">
        <v>50</v>
      </c>
      <c r="F21" s="96" t="s">
        <v>80</v>
      </c>
    </row>
    <row r="22" spans="1:6" x14ac:dyDescent="0.3">
      <c r="B22" s="96" t="s">
        <v>81</v>
      </c>
      <c r="C22" s="96" t="s">
        <v>82</v>
      </c>
      <c r="D22" s="98">
        <v>5</v>
      </c>
      <c r="E22" s="98">
        <v>0</v>
      </c>
      <c r="F22" s="96" t="s">
        <v>80</v>
      </c>
    </row>
    <row r="23" spans="1:6" x14ac:dyDescent="0.3">
      <c r="B23" s="96" t="s">
        <v>83</v>
      </c>
      <c r="C23" s="96" t="s">
        <v>84</v>
      </c>
      <c r="D23" s="98">
        <v>6</v>
      </c>
      <c r="E23" s="98">
        <v>0</v>
      </c>
      <c r="F23" s="96" t="s">
        <v>80</v>
      </c>
    </row>
    <row r="24" spans="1:6" x14ac:dyDescent="0.3">
      <c r="B24" s="96" t="s">
        <v>85</v>
      </c>
      <c r="C24" s="96" t="s">
        <v>86</v>
      </c>
      <c r="D24" s="98">
        <v>10</v>
      </c>
      <c r="E24" s="98">
        <v>0</v>
      </c>
      <c r="F24" s="96" t="s">
        <v>80</v>
      </c>
    </row>
    <row r="25" spans="1:6" x14ac:dyDescent="0.3">
      <c r="B25" s="96" t="s">
        <v>87</v>
      </c>
      <c r="C25" s="96" t="s">
        <v>88</v>
      </c>
      <c r="D25" s="98">
        <v>6</v>
      </c>
      <c r="E25" s="98">
        <v>0</v>
      </c>
      <c r="F25" s="96" t="s">
        <v>80</v>
      </c>
    </row>
    <row r="26" spans="1:6" x14ac:dyDescent="0.3">
      <c r="B26" s="96" t="s">
        <v>89</v>
      </c>
      <c r="C26" s="96" t="s">
        <v>90</v>
      </c>
      <c r="D26" s="98">
        <v>3</v>
      </c>
      <c r="E26" s="98">
        <v>0</v>
      </c>
      <c r="F26" s="96" t="s">
        <v>80</v>
      </c>
    </row>
    <row r="27" spans="1:6" x14ac:dyDescent="0.3">
      <c r="B27" s="96" t="s">
        <v>91</v>
      </c>
      <c r="C27" s="96" t="s">
        <v>92</v>
      </c>
      <c r="D27" s="98">
        <v>8</v>
      </c>
      <c r="E27" s="98">
        <v>99.999999999999986</v>
      </c>
      <c r="F27" s="96" t="s">
        <v>80</v>
      </c>
    </row>
    <row r="28" spans="1:6" x14ac:dyDescent="0.3">
      <c r="B28" s="96" t="s">
        <v>93</v>
      </c>
      <c r="C28" s="96" t="s">
        <v>94</v>
      </c>
      <c r="D28" s="98">
        <v>4</v>
      </c>
      <c r="E28" s="98">
        <v>0</v>
      </c>
      <c r="F28" s="96" t="s">
        <v>80</v>
      </c>
    </row>
    <row r="29" spans="1:6" x14ac:dyDescent="0.3">
      <c r="B29" s="96" t="s">
        <v>95</v>
      </c>
      <c r="C29" s="96" t="s">
        <v>96</v>
      </c>
      <c r="D29" s="98">
        <v>5</v>
      </c>
      <c r="E29" s="98">
        <v>0</v>
      </c>
      <c r="F29" s="96" t="s">
        <v>80</v>
      </c>
    </row>
    <row r="30" spans="1:6" x14ac:dyDescent="0.3">
      <c r="B30" s="96" t="s">
        <v>97</v>
      </c>
      <c r="C30" s="96" t="s">
        <v>98</v>
      </c>
      <c r="D30" s="98">
        <v>1</v>
      </c>
      <c r="E30" s="98">
        <v>149.99999999999997</v>
      </c>
      <c r="F30" s="96" t="s">
        <v>80</v>
      </c>
    </row>
    <row r="31" spans="1:6" x14ac:dyDescent="0.3">
      <c r="B31" s="96" t="s">
        <v>99</v>
      </c>
      <c r="C31" s="96" t="s">
        <v>100</v>
      </c>
      <c r="D31" s="98">
        <v>3</v>
      </c>
      <c r="E31" s="98">
        <v>0</v>
      </c>
      <c r="F31" s="96" t="s">
        <v>80</v>
      </c>
    </row>
    <row r="32" spans="1:6" x14ac:dyDescent="0.3">
      <c r="B32" s="96" t="s">
        <v>101</v>
      </c>
      <c r="C32" s="96" t="s">
        <v>102</v>
      </c>
      <c r="D32" s="98">
        <v>1</v>
      </c>
      <c r="E32" s="98">
        <v>0</v>
      </c>
      <c r="F32" s="96" t="s">
        <v>80</v>
      </c>
    </row>
    <row r="33" spans="1:7" x14ac:dyDescent="0.3">
      <c r="B33" s="96" t="s">
        <v>103</v>
      </c>
      <c r="C33" s="96" t="s">
        <v>104</v>
      </c>
      <c r="D33" s="98">
        <v>7</v>
      </c>
      <c r="E33" s="98">
        <v>1.0658141036401503E-14</v>
      </c>
      <c r="F33" s="96" t="s">
        <v>80</v>
      </c>
    </row>
    <row r="34" spans="1:7" x14ac:dyDescent="0.3">
      <c r="B34" s="96" t="s">
        <v>105</v>
      </c>
      <c r="C34" s="96" t="s">
        <v>106</v>
      </c>
      <c r="D34" s="98">
        <v>2</v>
      </c>
      <c r="E34" s="98">
        <v>2.4868995751603507E-14</v>
      </c>
      <c r="F34" s="96" t="s">
        <v>80</v>
      </c>
    </row>
    <row r="35" spans="1:7" x14ac:dyDescent="0.3">
      <c r="B35" s="96" t="s">
        <v>107</v>
      </c>
      <c r="C35" s="96" t="s">
        <v>108</v>
      </c>
      <c r="D35" s="98">
        <v>4</v>
      </c>
      <c r="E35" s="98">
        <v>66.541840297165322</v>
      </c>
      <c r="F35" s="96" t="s">
        <v>80</v>
      </c>
    </row>
    <row r="36" spans="1:7" x14ac:dyDescent="0.3">
      <c r="B36" s="96" t="s">
        <v>109</v>
      </c>
      <c r="C36" s="96" t="s">
        <v>110</v>
      </c>
      <c r="D36" s="98">
        <v>2</v>
      </c>
      <c r="E36" s="98">
        <v>83.458159702834635</v>
      </c>
      <c r="F36" s="96" t="s">
        <v>80</v>
      </c>
    </row>
    <row r="37" spans="1:7" x14ac:dyDescent="0.3">
      <c r="B37" s="96" t="s">
        <v>111</v>
      </c>
      <c r="C37" s="96" t="s">
        <v>112</v>
      </c>
      <c r="D37" s="98">
        <v>0</v>
      </c>
      <c r="E37" s="98">
        <v>0</v>
      </c>
      <c r="F37" s="96" t="s">
        <v>80</v>
      </c>
    </row>
    <row r="38" spans="1:7" x14ac:dyDescent="0.3">
      <c r="B38" s="96" t="s">
        <v>113</v>
      </c>
      <c r="C38" s="96" t="s">
        <v>114</v>
      </c>
      <c r="D38" s="98">
        <v>0</v>
      </c>
      <c r="E38" s="98">
        <v>0</v>
      </c>
      <c r="F38" s="96" t="s">
        <v>80</v>
      </c>
    </row>
    <row r="39" spans="1:7" x14ac:dyDescent="0.3">
      <c r="B39" s="96" t="s">
        <v>115</v>
      </c>
      <c r="C39" s="96" t="s">
        <v>116</v>
      </c>
      <c r="D39" s="98">
        <v>0</v>
      </c>
      <c r="E39" s="98">
        <v>33.458159702834649</v>
      </c>
      <c r="F39" s="96" t="s">
        <v>80</v>
      </c>
    </row>
    <row r="40" spans="1:7" ht="15" thickBot="1" x14ac:dyDescent="0.35">
      <c r="B40" s="94" t="s">
        <v>117</v>
      </c>
      <c r="C40" s="94" t="s">
        <v>118</v>
      </c>
      <c r="D40" s="97">
        <v>0</v>
      </c>
      <c r="E40" s="97">
        <v>66.541840297165351</v>
      </c>
      <c r="F40" s="94" t="s">
        <v>80</v>
      </c>
    </row>
    <row r="43" spans="1:7" ht="15" thickBot="1" x14ac:dyDescent="0.35">
      <c r="A43" t="s">
        <v>71</v>
      </c>
    </row>
    <row r="44" spans="1:7" ht="15" thickBot="1" x14ac:dyDescent="0.35">
      <c r="B44" s="95" t="s">
        <v>65</v>
      </c>
      <c r="C44" s="95" t="s">
        <v>66</v>
      </c>
      <c r="D44" s="95" t="s">
        <v>72</v>
      </c>
      <c r="E44" s="95" t="s">
        <v>73</v>
      </c>
      <c r="F44" s="95" t="s">
        <v>74</v>
      </c>
      <c r="G44" s="95" t="s">
        <v>75</v>
      </c>
    </row>
    <row r="45" spans="1:7" x14ac:dyDescent="0.3">
      <c r="B45" s="96" t="s">
        <v>119</v>
      </c>
      <c r="C45" s="96" t="s">
        <v>120</v>
      </c>
      <c r="D45" s="98">
        <v>50.000000000000014</v>
      </c>
      <c r="E45" s="96" t="s">
        <v>121</v>
      </c>
      <c r="F45" s="96" t="s">
        <v>122</v>
      </c>
      <c r="G45" s="96">
        <v>0</v>
      </c>
    </row>
    <row r="46" spans="1:7" x14ac:dyDescent="0.3">
      <c r="B46" s="96" t="s">
        <v>123</v>
      </c>
      <c r="C46" s="96" t="s">
        <v>124</v>
      </c>
      <c r="D46" s="98">
        <v>150</v>
      </c>
      <c r="E46" s="96" t="s">
        <v>125</v>
      </c>
      <c r="F46" s="96" t="s">
        <v>122</v>
      </c>
      <c r="G46" s="96">
        <v>0</v>
      </c>
    </row>
    <row r="47" spans="1:7" x14ac:dyDescent="0.3">
      <c r="B47" s="96" t="s">
        <v>126</v>
      </c>
      <c r="C47" s="96" t="s">
        <v>127</v>
      </c>
      <c r="D47" s="98">
        <v>199.99999999999997</v>
      </c>
      <c r="E47" s="96" t="s">
        <v>128</v>
      </c>
      <c r="F47" s="96" t="s">
        <v>122</v>
      </c>
      <c r="G47" s="96">
        <v>0</v>
      </c>
    </row>
    <row r="48" spans="1:7" x14ac:dyDescent="0.3">
      <c r="B48" s="96" t="s">
        <v>129</v>
      </c>
      <c r="C48" s="96" t="s">
        <v>130</v>
      </c>
      <c r="D48" s="98">
        <v>150</v>
      </c>
      <c r="E48" s="96" t="s">
        <v>131</v>
      </c>
      <c r="F48" s="96" t="s">
        <v>122</v>
      </c>
      <c r="G48" s="96">
        <v>0</v>
      </c>
    </row>
    <row r="49" spans="2:7" x14ac:dyDescent="0.3">
      <c r="B49" s="96" t="s">
        <v>132</v>
      </c>
      <c r="C49" s="96" t="s">
        <v>133</v>
      </c>
      <c r="D49" s="98">
        <v>50</v>
      </c>
      <c r="E49" s="96" t="s">
        <v>134</v>
      </c>
      <c r="F49" s="96" t="s">
        <v>122</v>
      </c>
      <c r="G49" s="96">
        <v>0</v>
      </c>
    </row>
    <row r="50" spans="2:7" x14ac:dyDescent="0.3">
      <c r="B50" s="96" t="s">
        <v>135</v>
      </c>
      <c r="C50" s="96" t="s">
        <v>136</v>
      </c>
      <c r="D50" s="98">
        <v>99.999999999999986</v>
      </c>
      <c r="E50" s="96" t="s">
        <v>137</v>
      </c>
      <c r="F50" s="96" t="s">
        <v>122</v>
      </c>
      <c r="G50" s="96">
        <v>0</v>
      </c>
    </row>
    <row r="51" spans="2:7" x14ac:dyDescent="0.3">
      <c r="B51" s="96" t="s">
        <v>138</v>
      </c>
      <c r="C51" s="96" t="s">
        <v>139</v>
      </c>
      <c r="D51" s="98">
        <v>149.99999999999997</v>
      </c>
      <c r="E51" s="96" t="s">
        <v>140</v>
      </c>
      <c r="F51" s="96" t="s">
        <v>122</v>
      </c>
      <c r="G51" s="96">
        <v>0</v>
      </c>
    </row>
    <row r="52" spans="2:7" x14ac:dyDescent="0.3">
      <c r="B52" s="96" t="s">
        <v>141</v>
      </c>
      <c r="C52" s="96" t="s">
        <v>142</v>
      </c>
      <c r="D52" s="98">
        <v>150</v>
      </c>
      <c r="E52" s="96" t="s">
        <v>143</v>
      </c>
      <c r="F52" s="96" t="s">
        <v>122</v>
      </c>
      <c r="G52" s="96">
        <v>0</v>
      </c>
    </row>
    <row r="53" spans="2:7" x14ac:dyDescent="0.3">
      <c r="B53" s="96" t="s">
        <v>144</v>
      </c>
      <c r="C53" s="96" t="s">
        <v>145</v>
      </c>
      <c r="D53" s="98">
        <v>100</v>
      </c>
      <c r="E53" s="96" t="s">
        <v>146</v>
      </c>
      <c r="F53" s="96" t="s">
        <v>122</v>
      </c>
      <c r="G53" s="96">
        <v>0</v>
      </c>
    </row>
    <row r="54" spans="2:7" x14ac:dyDescent="0.3">
      <c r="B54" s="96" t="s">
        <v>78</v>
      </c>
      <c r="C54" s="96" t="s">
        <v>79</v>
      </c>
      <c r="D54" s="98">
        <v>50</v>
      </c>
      <c r="E54" s="96" t="s">
        <v>147</v>
      </c>
      <c r="F54" s="96" t="s">
        <v>148</v>
      </c>
      <c r="G54" s="98">
        <v>50</v>
      </c>
    </row>
    <row r="55" spans="2:7" x14ac:dyDescent="0.3">
      <c r="B55" s="96" t="s">
        <v>81</v>
      </c>
      <c r="C55" s="96" t="s">
        <v>82</v>
      </c>
      <c r="D55" s="98">
        <v>0</v>
      </c>
      <c r="E55" s="96" t="s">
        <v>149</v>
      </c>
      <c r="F55" s="96" t="s">
        <v>122</v>
      </c>
      <c r="G55" s="98">
        <v>0</v>
      </c>
    </row>
    <row r="56" spans="2:7" x14ac:dyDescent="0.3">
      <c r="B56" s="96" t="s">
        <v>83</v>
      </c>
      <c r="C56" s="96" t="s">
        <v>84</v>
      </c>
      <c r="D56" s="98">
        <v>0</v>
      </c>
      <c r="E56" s="96" t="s">
        <v>150</v>
      </c>
      <c r="F56" s="96" t="s">
        <v>122</v>
      </c>
      <c r="G56" s="98">
        <v>0</v>
      </c>
    </row>
    <row r="57" spans="2:7" x14ac:dyDescent="0.3">
      <c r="B57" s="96" t="s">
        <v>85</v>
      </c>
      <c r="C57" s="96" t="s">
        <v>86</v>
      </c>
      <c r="D57" s="98">
        <v>0</v>
      </c>
      <c r="E57" s="96" t="s">
        <v>151</v>
      </c>
      <c r="F57" s="96" t="s">
        <v>122</v>
      </c>
      <c r="G57" s="98">
        <v>0</v>
      </c>
    </row>
    <row r="58" spans="2:7" x14ac:dyDescent="0.3">
      <c r="B58" s="96" t="s">
        <v>87</v>
      </c>
      <c r="C58" s="96" t="s">
        <v>88</v>
      </c>
      <c r="D58" s="98">
        <v>0</v>
      </c>
      <c r="E58" s="96" t="s">
        <v>152</v>
      </c>
      <c r="F58" s="96" t="s">
        <v>122</v>
      </c>
      <c r="G58" s="98">
        <v>0</v>
      </c>
    </row>
    <row r="59" spans="2:7" x14ac:dyDescent="0.3">
      <c r="B59" s="96" t="s">
        <v>89</v>
      </c>
      <c r="C59" s="96" t="s">
        <v>90</v>
      </c>
      <c r="D59" s="98">
        <v>0</v>
      </c>
      <c r="E59" s="96" t="s">
        <v>153</v>
      </c>
      <c r="F59" s="96" t="s">
        <v>122</v>
      </c>
      <c r="G59" s="98">
        <v>0</v>
      </c>
    </row>
    <row r="60" spans="2:7" x14ac:dyDescent="0.3">
      <c r="B60" s="96" t="s">
        <v>91</v>
      </c>
      <c r="C60" s="96" t="s">
        <v>92</v>
      </c>
      <c r="D60" s="98">
        <v>99.999999999999986</v>
      </c>
      <c r="E60" s="96" t="s">
        <v>154</v>
      </c>
      <c r="F60" s="96" t="s">
        <v>148</v>
      </c>
      <c r="G60" s="98">
        <v>99.999999999999986</v>
      </c>
    </row>
    <row r="61" spans="2:7" x14ac:dyDescent="0.3">
      <c r="B61" s="96" t="s">
        <v>93</v>
      </c>
      <c r="C61" s="96" t="s">
        <v>94</v>
      </c>
      <c r="D61" s="98">
        <v>0</v>
      </c>
      <c r="E61" s="96" t="s">
        <v>155</v>
      </c>
      <c r="F61" s="96" t="s">
        <v>122</v>
      </c>
      <c r="G61" s="98">
        <v>0</v>
      </c>
    </row>
    <row r="62" spans="2:7" x14ac:dyDescent="0.3">
      <c r="B62" s="96" t="s">
        <v>95</v>
      </c>
      <c r="C62" s="96" t="s">
        <v>96</v>
      </c>
      <c r="D62" s="98">
        <v>0</v>
      </c>
      <c r="E62" s="96" t="s">
        <v>156</v>
      </c>
      <c r="F62" s="96" t="s">
        <v>122</v>
      </c>
      <c r="G62" s="98">
        <v>0</v>
      </c>
    </row>
    <row r="63" spans="2:7" x14ac:dyDescent="0.3">
      <c r="B63" s="96" t="s">
        <v>97</v>
      </c>
      <c r="C63" s="96" t="s">
        <v>98</v>
      </c>
      <c r="D63" s="98">
        <v>149.99999999999997</v>
      </c>
      <c r="E63" s="96" t="s">
        <v>157</v>
      </c>
      <c r="F63" s="96" t="s">
        <v>148</v>
      </c>
      <c r="G63" s="98">
        <v>149.99999999999997</v>
      </c>
    </row>
    <row r="64" spans="2:7" x14ac:dyDescent="0.3">
      <c r="B64" s="96" t="s">
        <v>99</v>
      </c>
      <c r="C64" s="96" t="s">
        <v>100</v>
      </c>
      <c r="D64" s="98">
        <v>0</v>
      </c>
      <c r="E64" s="96" t="s">
        <v>158</v>
      </c>
      <c r="F64" s="96" t="s">
        <v>122</v>
      </c>
      <c r="G64" s="98">
        <v>0</v>
      </c>
    </row>
    <row r="65" spans="2:7" x14ac:dyDescent="0.3">
      <c r="B65" s="96" t="s">
        <v>101</v>
      </c>
      <c r="C65" s="96" t="s">
        <v>102</v>
      </c>
      <c r="D65" s="98">
        <v>0</v>
      </c>
      <c r="E65" s="96" t="s">
        <v>159</v>
      </c>
      <c r="F65" s="96" t="s">
        <v>122</v>
      </c>
      <c r="G65" s="98">
        <v>0</v>
      </c>
    </row>
    <row r="66" spans="2:7" x14ac:dyDescent="0.3">
      <c r="B66" s="96" t="s">
        <v>103</v>
      </c>
      <c r="C66" s="96" t="s">
        <v>104</v>
      </c>
      <c r="D66" s="98">
        <v>1.0658141036401503E-14</v>
      </c>
      <c r="E66" s="96" t="s">
        <v>160</v>
      </c>
      <c r="F66" s="96" t="s">
        <v>122</v>
      </c>
      <c r="G66" s="98">
        <v>0</v>
      </c>
    </row>
    <row r="67" spans="2:7" x14ac:dyDescent="0.3">
      <c r="B67" s="96" t="s">
        <v>105</v>
      </c>
      <c r="C67" s="96" t="s">
        <v>106</v>
      </c>
      <c r="D67" s="98">
        <v>2.4868995751603507E-14</v>
      </c>
      <c r="E67" s="96" t="s">
        <v>161</v>
      </c>
      <c r="F67" s="96" t="s">
        <v>122</v>
      </c>
      <c r="G67" s="98">
        <v>0</v>
      </c>
    </row>
    <row r="68" spans="2:7" x14ac:dyDescent="0.3">
      <c r="B68" s="96" t="s">
        <v>107</v>
      </c>
      <c r="C68" s="96" t="s">
        <v>108</v>
      </c>
      <c r="D68" s="98">
        <v>66.541840297165322</v>
      </c>
      <c r="E68" s="96" t="s">
        <v>162</v>
      </c>
      <c r="F68" s="96" t="s">
        <v>148</v>
      </c>
      <c r="G68" s="98">
        <v>66.541840297165322</v>
      </c>
    </row>
    <row r="69" spans="2:7" x14ac:dyDescent="0.3">
      <c r="B69" s="96" t="s">
        <v>109</v>
      </c>
      <c r="C69" s="96" t="s">
        <v>110</v>
      </c>
      <c r="D69" s="98">
        <v>83.458159702834635</v>
      </c>
      <c r="E69" s="96" t="s">
        <v>163</v>
      </c>
      <c r="F69" s="96" t="s">
        <v>148</v>
      </c>
      <c r="G69" s="98">
        <v>83.458159702834635</v>
      </c>
    </row>
    <row r="70" spans="2:7" x14ac:dyDescent="0.3">
      <c r="B70" s="96" t="s">
        <v>111</v>
      </c>
      <c r="C70" s="96" t="s">
        <v>112</v>
      </c>
      <c r="D70" s="98">
        <v>0</v>
      </c>
      <c r="E70" s="96" t="s">
        <v>164</v>
      </c>
      <c r="F70" s="96" t="s">
        <v>122</v>
      </c>
      <c r="G70" s="98">
        <v>0</v>
      </c>
    </row>
    <row r="71" spans="2:7" x14ac:dyDescent="0.3">
      <c r="B71" s="96" t="s">
        <v>113</v>
      </c>
      <c r="C71" s="96" t="s">
        <v>114</v>
      </c>
      <c r="D71" s="98">
        <v>0</v>
      </c>
      <c r="E71" s="96" t="s">
        <v>165</v>
      </c>
      <c r="F71" s="96" t="s">
        <v>122</v>
      </c>
      <c r="G71" s="98">
        <v>0</v>
      </c>
    </row>
    <row r="72" spans="2:7" x14ac:dyDescent="0.3">
      <c r="B72" s="96" t="s">
        <v>115</v>
      </c>
      <c r="C72" s="96" t="s">
        <v>116</v>
      </c>
      <c r="D72" s="98">
        <v>33.458159702834649</v>
      </c>
      <c r="E72" s="96" t="s">
        <v>166</v>
      </c>
      <c r="F72" s="96" t="s">
        <v>148</v>
      </c>
      <c r="G72" s="98">
        <v>33.458159702834649</v>
      </c>
    </row>
    <row r="73" spans="2:7" ht="15" thickBot="1" x14ac:dyDescent="0.35">
      <c r="B73" s="94" t="s">
        <v>117</v>
      </c>
      <c r="C73" s="94" t="s">
        <v>118</v>
      </c>
      <c r="D73" s="97">
        <v>66.541840297165351</v>
      </c>
      <c r="E73" s="94" t="s">
        <v>167</v>
      </c>
      <c r="F73" s="94" t="s">
        <v>148</v>
      </c>
      <c r="G73" s="97">
        <v>66.541840297165351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4EDE9-5725-44DF-B341-0BFCFA2EC302}">
  <dimension ref="A1:E41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6.88671875" bestFit="1" customWidth="1"/>
    <col min="4" max="4" width="12" bestFit="1" customWidth="1"/>
    <col min="5" max="5" width="12.6640625" bestFit="1" customWidth="1"/>
  </cols>
  <sheetData>
    <row r="1" spans="1:5" x14ac:dyDescent="0.3">
      <c r="A1" s="93" t="s">
        <v>168</v>
      </c>
    </row>
    <row r="2" spans="1:5" x14ac:dyDescent="0.3">
      <c r="A2" s="93" t="s">
        <v>53</v>
      </c>
    </row>
    <row r="3" spans="1:5" x14ac:dyDescent="0.3">
      <c r="A3" s="93" t="s">
        <v>169</v>
      </c>
    </row>
    <row r="6" spans="1:5" ht="15" thickBot="1" x14ac:dyDescent="0.35">
      <c r="A6" t="s">
        <v>69</v>
      </c>
    </row>
    <row r="7" spans="1:5" x14ac:dyDescent="0.3">
      <c r="B7" s="99"/>
      <c r="C7" s="99"/>
      <c r="D7" s="99" t="s">
        <v>170</v>
      </c>
      <c r="E7" s="99" t="s">
        <v>172</v>
      </c>
    </row>
    <row r="8" spans="1:5" ht="15" thickBot="1" x14ac:dyDescent="0.35">
      <c r="B8" s="100" t="s">
        <v>65</v>
      </c>
      <c r="C8" s="100" t="s">
        <v>66</v>
      </c>
      <c r="D8" s="100" t="s">
        <v>171</v>
      </c>
      <c r="E8" s="100" t="s">
        <v>173</v>
      </c>
    </row>
    <row r="9" spans="1:5" x14ac:dyDescent="0.3">
      <c r="B9" s="96" t="s">
        <v>78</v>
      </c>
      <c r="C9" s="96" t="s">
        <v>79</v>
      </c>
      <c r="D9" s="96">
        <v>50</v>
      </c>
      <c r="E9" s="96">
        <v>0</v>
      </c>
    </row>
    <row r="10" spans="1:5" x14ac:dyDescent="0.3">
      <c r="B10" s="96" t="s">
        <v>81</v>
      </c>
      <c r="C10" s="96" t="s">
        <v>82</v>
      </c>
      <c r="D10" s="96">
        <v>0</v>
      </c>
      <c r="E10" s="96">
        <v>99.999999761581421</v>
      </c>
    </row>
    <row r="11" spans="1:5" x14ac:dyDescent="0.3">
      <c r="B11" s="96" t="s">
        <v>83</v>
      </c>
      <c r="C11" s="96" t="s">
        <v>84</v>
      </c>
      <c r="D11" s="96">
        <v>0</v>
      </c>
      <c r="E11" s="96">
        <v>147.99999952316284</v>
      </c>
    </row>
    <row r="12" spans="1:5" x14ac:dyDescent="0.3">
      <c r="B12" s="96" t="s">
        <v>85</v>
      </c>
      <c r="C12" s="96" t="s">
        <v>86</v>
      </c>
      <c r="D12" s="96">
        <v>0</v>
      </c>
      <c r="E12" s="96">
        <v>99.999999523162842</v>
      </c>
    </row>
    <row r="13" spans="1:5" x14ac:dyDescent="0.3">
      <c r="B13" s="96" t="s">
        <v>87</v>
      </c>
      <c r="C13" s="96" t="s">
        <v>88</v>
      </c>
      <c r="D13" s="96">
        <v>0</v>
      </c>
      <c r="E13" s="96">
        <v>0</v>
      </c>
    </row>
    <row r="14" spans="1:5" x14ac:dyDescent="0.3">
      <c r="B14" s="96" t="s">
        <v>89</v>
      </c>
      <c r="C14" s="96" t="s">
        <v>90</v>
      </c>
      <c r="D14" s="96">
        <v>0</v>
      </c>
      <c r="E14" s="96">
        <v>1.0000002384185791</v>
      </c>
    </row>
    <row r="15" spans="1:5" x14ac:dyDescent="0.3">
      <c r="B15" s="96" t="s">
        <v>91</v>
      </c>
      <c r="C15" s="96" t="s">
        <v>92</v>
      </c>
      <c r="D15" s="96">
        <v>99.999999999999986</v>
      </c>
      <c r="E15" s="96">
        <v>0</v>
      </c>
    </row>
    <row r="16" spans="1:5" x14ac:dyDescent="0.3">
      <c r="B16" s="96" t="s">
        <v>93</v>
      </c>
      <c r="C16" s="96" t="s">
        <v>94</v>
      </c>
      <c r="D16" s="96">
        <v>0</v>
      </c>
      <c r="E16" s="96">
        <v>6</v>
      </c>
    </row>
    <row r="17" spans="1:5" x14ac:dyDescent="0.3">
      <c r="B17" s="96" t="s">
        <v>95</v>
      </c>
      <c r="C17" s="96" t="s">
        <v>96</v>
      </c>
      <c r="D17" s="96">
        <v>0</v>
      </c>
      <c r="E17" s="96">
        <v>3.0000002384185791</v>
      </c>
    </row>
    <row r="18" spans="1:5" x14ac:dyDescent="0.3">
      <c r="B18" s="96" t="s">
        <v>97</v>
      </c>
      <c r="C18" s="96" t="s">
        <v>98</v>
      </c>
      <c r="D18" s="96">
        <v>149.99999999999997</v>
      </c>
      <c r="E18" s="96">
        <v>0</v>
      </c>
    </row>
    <row r="19" spans="1:5" x14ac:dyDescent="0.3">
      <c r="B19" s="96" t="s">
        <v>99</v>
      </c>
      <c r="C19" s="96" t="s">
        <v>100</v>
      </c>
      <c r="D19" s="96">
        <v>0</v>
      </c>
      <c r="E19" s="96">
        <v>2.9999997615814209</v>
      </c>
    </row>
    <row r="20" spans="1:5" x14ac:dyDescent="0.3">
      <c r="B20" s="96" t="s">
        <v>101</v>
      </c>
      <c r="C20" s="96" t="s">
        <v>102</v>
      </c>
      <c r="D20" s="96">
        <v>0</v>
      </c>
      <c r="E20" s="96">
        <v>0.9999992847442627</v>
      </c>
    </row>
    <row r="21" spans="1:5" x14ac:dyDescent="0.3">
      <c r="B21" s="96" t="s">
        <v>103</v>
      </c>
      <c r="C21" s="96" t="s">
        <v>104</v>
      </c>
      <c r="D21" s="96">
        <v>1.0658141036401503E-14</v>
      </c>
      <c r="E21" s="96">
        <v>4.0000004768371582</v>
      </c>
    </row>
    <row r="22" spans="1:5" x14ac:dyDescent="0.3">
      <c r="B22" s="96" t="s">
        <v>105</v>
      </c>
      <c r="C22" s="96" t="s">
        <v>106</v>
      </c>
      <c r="D22" s="96">
        <v>2.4868995751603507E-14</v>
      </c>
      <c r="E22" s="96">
        <v>-3.5762786865234375E-7</v>
      </c>
    </row>
    <row r="23" spans="1:5" x14ac:dyDescent="0.3">
      <c r="B23" s="96" t="s">
        <v>107</v>
      </c>
      <c r="C23" s="96" t="s">
        <v>108</v>
      </c>
      <c r="D23" s="96">
        <v>66.541840297165322</v>
      </c>
      <c r="E23" s="96">
        <v>0</v>
      </c>
    </row>
    <row r="24" spans="1:5" x14ac:dyDescent="0.3">
      <c r="B24" s="96" t="s">
        <v>109</v>
      </c>
      <c r="C24" s="96" t="s">
        <v>110</v>
      </c>
      <c r="D24" s="96">
        <v>83.458159702834635</v>
      </c>
      <c r="E24" s="96">
        <v>0</v>
      </c>
    </row>
    <row r="25" spans="1:5" x14ac:dyDescent="0.3">
      <c r="B25" s="96" t="s">
        <v>111</v>
      </c>
      <c r="C25" s="96" t="s">
        <v>112</v>
      </c>
      <c r="D25" s="96">
        <v>0</v>
      </c>
      <c r="E25" s="96">
        <v>5</v>
      </c>
    </row>
    <row r="26" spans="1:5" x14ac:dyDescent="0.3">
      <c r="B26" s="96" t="s">
        <v>113</v>
      </c>
      <c r="C26" s="96" t="s">
        <v>114</v>
      </c>
      <c r="D26" s="96">
        <v>0</v>
      </c>
      <c r="E26" s="96">
        <v>0</v>
      </c>
    </row>
    <row r="27" spans="1:5" x14ac:dyDescent="0.3">
      <c r="B27" s="96" t="s">
        <v>115</v>
      </c>
      <c r="C27" s="96" t="s">
        <v>116</v>
      </c>
      <c r="D27" s="96">
        <v>33.458159702834649</v>
      </c>
      <c r="E27" s="96">
        <v>0</v>
      </c>
    </row>
    <row r="28" spans="1:5" ht="15" thickBot="1" x14ac:dyDescent="0.35">
      <c r="B28" s="94" t="s">
        <v>117</v>
      </c>
      <c r="C28" s="94" t="s">
        <v>118</v>
      </c>
      <c r="D28" s="94">
        <v>66.541840297165351</v>
      </c>
      <c r="E28" s="94">
        <v>0</v>
      </c>
    </row>
    <row r="30" spans="1:5" ht="15" thickBot="1" x14ac:dyDescent="0.35">
      <c r="A30" t="s">
        <v>71</v>
      </c>
    </row>
    <row r="31" spans="1:5" x14ac:dyDescent="0.3">
      <c r="B31" s="99"/>
      <c r="C31" s="99"/>
      <c r="D31" s="99" t="s">
        <v>170</v>
      </c>
      <c r="E31" s="99" t="s">
        <v>174</v>
      </c>
    </row>
    <row r="32" spans="1:5" ht="15" thickBot="1" x14ac:dyDescent="0.35">
      <c r="B32" s="100" t="s">
        <v>65</v>
      </c>
      <c r="C32" s="100" t="s">
        <v>66</v>
      </c>
      <c r="D32" s="100" t="s">
        <v>171</v>
      </c>
      <c r="E32" s="100" t="s">
        <v>175</v>
      </c>
    </row>
    <row r="33" spans="2:5" x14ac:dyDescent="0.3">
      <c r="B33" s="96" t="s">
        <v>119</v>
      </c>
      <c r="C33" s="96" t="s">
        <v>120</v>
      </c>
      <c r="D33" s="96">
        <v>50.000000000000014</v>
      </c>
      <c r="E33" s="96">
        <v>0</v>
      </c>
    </row>
    <row r="34" spans="2:5" x14ac:dyDescent="0.3">
      <c r="B34" s="96" t="s">
        <v>123</v>
      </c>
      <c r="C34" s="96" t="s">
        <v>124</v>
      </c>
      <c r="D34" s="96">
        <v>150</v>
      </c>
      <c r="E34" s="96">
        <v>2.384185791015625E-7</v>
      </c>
    </row>
    <row r="35" spans="2:5" x14ac:dyDescent="0.3">
      <c r="B35" s="96" t="s">
        <v>126</v>
      </c>
      <c r="C35" s="96" t="s">
        <v>127</v>
      </c>
      <c r="D35" s="96">
        <v>199.99999999999997</v>
      </c>
      <c r="E35" s="96">
        <v>2.0000004768371582</v>
      </c>
    </row>
    <row r="36" spans="2:5" x14ac:dyDescent="0.3">
      <c r="B36" s="96" t="s">
        <v>129</v>
      </c>
      <c r="C36" s="96" t="s">
        <v>130</v>
      </c>
      <c r="D36" s="96">
        <v>150</v>
      </c>
      <c r="E36" s="96">
        <v>4.76837158203125E-7</v>
      </c>
    </row>
    <row r="37" spans="2:5" x14ac:dyDescent="0.3">
      <c r="B37" s="96" t="s">
        <v>132</v>
      </c>
      <c r="C37" s="96" t="s">
        <v>133</v>
      </c>
      <c r="D37" s="96">
        <v>50</v>
      </c>
      <c r="E37" s="96">
        <v>50</v>
      </c>
    </row>
    <row r="38" spans="2:5" x14ac:dyDescent="0.3">
      <c r="B38" s="96" t="s">
        <v>135</v>
      </c>
      <c r="C38" s="96" t="s">
        <v>136</v>
      </c>
      <c r="D38" s="96">
        <v>99.999999999999986</v>
      </c>
      <c r="E38" s="96">
        <v>3.9999995231628418</v>
      </c>
    </row>
    <row r="39" spans="2:5" x14ac:dyDescent="0.3">
      <c r="B39" s="96" t="s">
        <v>138</v>
      </c>
      <c r="C39" s="96" t="s">
        <v>139</v>
      </c>
      <c r="D39" s="96">
        <v>149.99999999999997</v>
      </c>
      <c r="E39" s="96">
        <v>2.9999997615814209</v>
      </c>
    </row>
    <row r="40" spans="2:5" x14ac:dyDescent="0.3">
      <c r="B40" s="96" t="s">
        <v>141</v>
      </c>
      <c r="C40" s="96" t="s">
        <v>142</v>
      </c>
      <c r="D40" s="96">
        <v>150</v>
      </c>
      <c r="E40" s="96">
        <v>0.9999995231628418</v>
      </c>
    </row>
    <row r="41" spans="2:5" ht="15" thickBot="1" x14ac:dyDescent="0.35">
      <c r="B41" s="94" t="s">
        <v>144</v>
      </c>
      <c r="C41" s="94" t="s">
        <v>145</v>
      </c>
      <c r="D41" s="94">
        <v>100</v>
      </c>
      <c r="E41" s="94">
        <v>1.9999995231628418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C9E4-8386-4F45-B228-56B62CF1AD5D}">
  <dimension ref="A1:J32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" bestFit="1" customWidth="1"/>
    <col min="4" max="4" width="12" bestFit="1" customWidth="1"/>
    <col min="5" max="5" width="2.33203125" customWidth="1"/>
    <col min="6" max="6" width="12" bestFit="1" customWidth="1"/>
    <col min="7" max="7" width="9" bestFit="1" customWidth="1"/>
    <col min="8" max="8" width="2.33203125" customWidth="1"/>
    <col min="9" max="9" width="12" bestFit="1" customWidth="1"/>
    <col min="10" max="10" width="9" bestFit="1" customWidth="1"/>
  </cols>
  <sheetData>
    <row r="1" spans="1:10" x14ac:dyDescent="0.3">
      <c r="A1" s="93" t="s">
        <v>176</v>
      </c>
    </row>
    <row r="2" spans="1:10" x14ac:dyDescent="0.3">
      <c r="A2" s="93" t="s">
        <v>53</v>
      </c>
    </row>
    <row r="3" spans="1:10" x14ac:dyDescent="0.3">
      <c r="A3" s="93" t="s">
        <v>169</v>
      </c>
    </row>
    <row r="5" spans="1:10" ht="15" thickBot="1" x14ac:dyDescent="0.35"/>
    <row r="6" spans="1:10" x14ac:dyDescent="0.3">
      <c r="B6" s="99"/>
      <c r="C6" s="99" t="s">
        <v>177</v>
      </c>
      <c r="D6" s="99"/>
    </row>
    <row r="7" spans="1:10" ht="15" thickBot="1" x14ac:dyDescent="0.35">
      <c r="B7" s="100" t="s">
        <v>65</v>
      </c>
      <c r="C7" s="100" t="s">
        <v>66</v>
      </c>
      <c r="D7" s="100" t="s">
        <v>171</v>
      </c>
    </row>
    <row r="8" spans="1:10" ht="15" thickBot="1" x14ac:dyDescent="0.35">
      <c r="B8" s="94" t="s">
        <v>76</v>
      </c>
      <c r="C8" s="94" t="s">
        <v>77</v>
      </c>
      <c r="D8" s="97">
        <v>4100</v>
      </c>
    </row>
    <row r="10" spans="1:10" ht="15" thickBot="1" x14ac:dyDescent="0.35"/>
    <row r="11" spans="1:10" x14ac:dyDescent="0.3">
      <c r="B11" s="99"/>
      <c r="C11" s="99" t="s">
        <v>178</v>
      </c>
      <c r="D11" s="99"/>
      <c r="F11" s="99" t="s">
        <v>179</v>
      </c>
      <c r="G11" s="99" t="s">
        <v>177</v>
      </c>
      <c r="I11" s="99" t="s">
        <v>182</v>
      </c>
      <c r="J11" s="99" t="s">
        <v>177</v>
      </c>
    </row>
    <row r="12" spans="1:10" ht="15" thickBot="1" x14ac:dyDescent="0.35">
      <c r="B12" s="100" t="s">
        <v>65</v>
      </c>
      <c r="C12" s="100" t="s">
        <v>66</v>
      </c>
      <c r="D12" s="100" t="s">
        <v>171</v>
      </c>
      <c r="F12" s="100" t="s">
        <v>180</v>
      </c>
      <c r="G12" s="100" t="s">
        <v>181</v>
      </c>
      <c r="I12" s="100" t="s">
        <v>180</v>
      </c>
      <c r="J12" s="100" t="s">
        <v>181</v>
      </c>
    </row>
    <row r="13" spans="1:10" x14ac:dyDescent="0.3">
      <c r="B13" s="96" t="s">
        <v>78</v>
      </c>
      <c r="C13" s="96" t="s">
        <v>79</v>
      </c>
      <c r="D13" s="98">
        <v>50</v>
      </c>
      <c r="F13" s="98">
        <v>50</v>
      </c>
      <c r="G13" s="98">
        <v>4100</v>
      </c>
      <c r="I13" s="98">
        <v>50</v>
      </c>
      <c r="J13" s="98">
        <v>4100</v>
      </c>
    </row>
    <row r="14" spans="1:10" x14ac:dyDescent="0.3">
      <c r="B14" s="96" t="s">
        <v>81</v>
      </c>
      <c r="C14" s="96" t="s">
        <v>82</v>
      </c>
      <c r="D14" s="98">
        <v>0</v>
      </c>
      <c r="F14" s="98">
        <v>0</v>
      </c>
      <c r="G14" s="98">
        <v>4100</v>
      </c>
      <c r="I14" s="98">
        <v>0</v>
      </c>
      <c r="J14" s="98">
        <v>4100</v>
      </c>
    </row>
    <row r="15" spans="1:10" x14ac:dyDescent="0.3">
      <c r="B15" s="96" t="s">
        <v>83</v>
      </c>
      <c r="C15" s="96" t="s">
        <v>84</v>
      </c>
      <c r="D15" s="98">
        <v>0</v>
      </c>
      <c r="F15" s="98">
        <v>0</v>
      </c>
      <c r="G15" s="98">
        <v>4100</v>
      </c>
      <c r="I15" s="98">
        <v>0</v>
      </c>
      <c r="J15" s="98">
        <v>4100</v>
      </c>
    </row>
    <row r="16" spans="1:10" x14ac:dyDescent="0.3">
      <c r="B16" s="96" t="s">
        <v>85</v>
      </c>
      <c r="C16" s="96" t="s">
        <v>86</v>
      </c>
      <c r="D16" s="98">
        <v>0</v>
      </c>
      <c r="F16" s="98">
        <v>0</v>
      </c>
      <c r="G16" s="98">
        <v>4100</v>
      </c>
      <c r="I16" s="98">
        <v>0</v>
      </c>
      <c r="J16" s="98">
        <v>4100</v>
      </c>
    </row>
    <row r="17" spans="2:10" x14ac:dyDescent="0.3">
      <c r="B17" s="96" t="s">
        <v>87</v>
      </c>
      <c r="C17" s="96" t="s">
        <v>88</v>
      </c>
      <c r="D17" s="98">
        <v>0</v>
      </c>
      <c r="F17" s="98">
        <v>0</v>
      </c>
      <c r="G17" s="98">
        <v>4100</v>
      </c>
      <c r="I17" s="98">
        <v>0</v>
      </c>
      <c r="J17" s="98">
        <v>4100</v>
      </c>
    </row>
    <row r="18" spans="2:10" x14ac:dyDescent="0.3">
      <c r="B18" s="96" t="s">
        <v>89</v>
      </c>
      <c r="C18" s="96" t="s">
        <v>90</v>
      </c>
      <c r="D18" s="98">
        <v>0</v>
      </c>
      <c r="F18" s="98">
        <v>0</v>
      </c>
      <c r="G18" s="98">
        <v>4100</v>
      </c>
      <c r="I18" s="98">
        <v>0</v>
      </c>
      <c r="J18" s="98">
        <v>4100</v>
      </c>
    </row>
    <row r="19" spans="2:10" x14ac:dyDescent="0.3">
      <c r="B19" s="96" t="s">
        <v>91</v>
      </c>
      <c r="C19" s="96" t="s">
        <v>92</v>
      </c>
      <c r="D19" s="98">
        <v>99.999999999999986</v>
      </c>
      <c r="F19" s="98">
        <v>99.999999999999986</v>
      </c>
      <c r="G19" s="98">
        <v>4100</v>
      </c>
      <c r="I19" s="98">
        <v>99.999999999999986</v>
      </c>
      <c r="J19" s="98">
        <v>4100</v>
      </c>
    </row>
    <row r="20" spans="2:10" x14ac:dyDescent="0.3">
      <c r="B20" s="96" t="s">
        <v>93</v>
      </c>
      <c r="C20" s="96" t="s">
        <v>94</v>
      </c>
      <c r="D20" s="98">
        <v>0</v>
      </c>
      <c r="F20" s="98">
        <v>0</v>
      </c>
      <c r="G20" s="98">
        <v>4100</v>
      </c>
      <c r="I20" s="98">
        <v>0</v>
      </c>
      <c r="J20" s="98">
        <v>4100</v>
      </c>
    </row>
    <row r="21" spans="2:10" x14ac:dyDescent="0.3">
      <c r="B21" s="96" t="s">
        <v>95</v>
      </c>
      <c r="C21" s="96" t="s">
        <v>96</v>
      </c>
      <c r="D21" s="98">
        <v>0</v>
      </c>
      <c r="F21" s="98">
        <v>0</v>
      </c>
      <c r="G21" s="98">
        <v>4100</v>
      </c>
      <c r="I21" s="98">
        <v>0</v>
      </c>
      <c r="J21" s="98">
        <v>4100</v>
      </c>
    </row>
    <row r="22" spans="2:10" x14ac:dyDescent="0.3">
      <c r="B22" s="96" t="s">
        <v>97</v>
      </c>
      <c r="C22" s="96" t="s">
        <v>98</v>
      </c>
      <c r="D22" s="98">
        <v>149.99999999999997</v>
      </c>
      <c r="F22" s="98">
        <v>149.99999999999997</v>
      </c>
      <c r="G22" s="98">
        <v>4100</v>
      </c>
      <c r="I22" s="98">
        <v>149.99999999999997</v>
      </c>
      <c r="J22" s="98">
        <v>4100</v>
      </c>
    </row>
    <row r="23" spans="2:10" x14ac:dyDescent="0.3">
      <c r="B23" s="96" t="s">
        <v>99</v>
      </c>
      <c r="C23" s="96" t="s">
        <v>100</v>
      </c>
      <c r="D23" s="98">
        <v>0</v>
      </c>
      <c r="F23" s="98">
        <v>0</v>
      </c>
      <c r="G23" s="98">
        <v>4100</v>
      </c>
      <c r="I23" s="98">
        <v>0</v>
      </c>
      <c r="J23" s="98">
        <v>4100</v>
      </c>
    </row>
    <row r="24" spans="2:10" x14ac:dyDescent="0.3">
      <c r="B24" s="96" t="s">
        <v>101</v>
      </c>
      <c r="C24" s="96" t="s">
        <v>102</v>
      </c>
      <c r="D24" s="98">
        <v>0</v>
      </c>
      <c r="F24" s="98">
        <v>0</v>
      </c>
      <c r="G24" s="98">
        <v>4100</v>
      </c>
      <c r="I24" s="98">
        <v>0</v>
      </c>
      <c r="J24" s="98">
        <v>4100</v>
      </c>
    </row>
    <row r="25" spans="2:10" x14ac:dyDescent="0.3">
      <c r="B25" s="96" t="s">
        <v>103</v>
      </c>
      <c r="C25" s="96" t="s">
        <v>104</v>
      </c>
      <c r="D25" s="98">
        <v>1.0658141036401503E-14</v>
      </c>
      <c r="F25" s="98">
        <v>1.0658141036401503E-14</v>
      </c>
      <c r="G25" s="98">
        <v>4100</v>
      </c>
      <c r="I25" s="98">
        <v>1.0658141036401503E-14</v>
      </c>
      <c r="J25" s="98">
        <v>4100</v>
      </c>
    </row>
    <row r="26" spans="2:10" x14ac:dyDescent="0.3">
      <c r="B26" s="96" t="s">
        <v>105</v>
      </c>
      <c r="C26" s="96" t="s">
        <v>106</v>
      </c>
      <c r="D26" s="98">
        <v>2.4868995751603507E-14</v>
      </c>
      <c r="F26" s="98">
        <v>2.4868995751603507E-14</v>
      </c>
      <c r="G26" s="98">
        <v>4100</v>
      </c>
      <c r="I26" s="98">
        <v>2.4868995751603507E-14</v>
      </c>
      <c r="J26" s="98">
        <v>4100</v>
      </c>
    </row>
    <row r="27" spans="2:10" x14ac:dyDescent="0.3">
      <c r="B27" s="96" t="s">
        <v>107</v>
      </c>
      <c r="C27" s="96" t="s">
        <v>108</v>
      </c>
      <c r="D27" s="98">
        <v>66.541840297165322</v>
      </c>
      <c r="F27" s="98">
        <v>66.541840297165322</v>
      </c>
      <c r="G27" s="98">
        <v>4100</v>
      </c>
      <c r="I27" s="98">
        <v>66.541840297165322</v>
      </c>
      <c r="J27" s="98">
        <v>4100</v>
      </c>
    </row>
    <row r="28" spans="2:10" x14ac:dyDescent="0.3">
      <c r="B28" s="96" t="s">
        <v>109</v>
      </c>
      <c r="C28" s="96" t="s">
        <v>110</v>
      </c>
      <c r="D28" s="98">
        <v>83.458159702834635</v>
      </c>
      <c r="F28" s="98">
        <v>83.458159702834635</v>
      </c>
      <c r="G28" s="98">
        <v>4100</v>
      </c>
      <c r="I28" s="98">
        <v>83.458159702834635</v>
      </c>
      <c r="J28" s="98">
        <v>4100</v>
      </c>
    </row>
    <row r="29" spans="2:10" x14ac:dyDescent="0.3">
      <c r="B29" s="96" t="s">
        <v>111</v>
      </c>
      <c r="C29" s="96" t="s">
        <v>112</v>
      </c>
      <c r="D29" s="98">
        <v>0</v>
      </c>
      <c r="F29" s="98">
        <v>0</v>
      </c>
      <c r="G29" s="98">
        <v>4100</v>
      </c>
      <c r="I29" s="98">
        <v>0</v>
      </c>
      <c r="J29" s="98">
        <v>4100</v>
      </c>
    </row>
    <row r="30" spans="2:10" x14ac:dyDescent="0.3">
      <c r="B30" s="96" t="s">
        <v>113</v>
      </c>
      <c r="C30" s="96" t="s">
        <v>114</v>
      </c>
      <c r="D30" s="98">
        <v>0</v>
      </c>
      <c r="F30" s="98">
        <v>0</v>
      </c>
      <c r="G30" s="98">
        <v>4100</v>
      </c>
      <c r="I30" s="98">
        <v>0</v>
      </c>
      <c r="J30" s="98">
        <v>4100</v>
      </c>
    </row>
    <row r="31" spans="2:10" x14ac:dyDescent="0.3">
      <c r="B31" s="96" t="s">
        <v>115</v>
      </c>
      <c r="C31" s="96" t="s">
        <v>116</v>
      </c>
      <c r="D31" s="98">
        <v>33.458159702834649</v>
      </c>
      <c r="F31" s="98">
        <v>33.458159702834649</v>
      </c>
      <c r="G31" s="98">
        <v>4100</v>
      </c>
      <c r="I31" s="98">
        <v>33.458159702834649</v>
      </c>
      <c r="J31" s="98">
        <v>4100</v>
      </c>
    </row>
    <row r="32" spans="2:10" ht="15" thickBot="1" x14ac:dyDescent="0.35">
      <c r="B32" s="94" t="s">
        <v>117</v>
      </c>
      <c r="C32" s="94" t="s">
        <v>118</v>
      </c>
      <c r="D32" s="97">
        <v>66.541840297165351</v>
      </c>
      <c r="F32" s="97">
        <v>66.541840297165351</v>
      </c>
      <c r="G32" s="97">
        <v>4100</v>
      </c>
      <c r="I32" s="97">
        <v>66.541840297165351</v>
      </c>
      <c r="J32" s="97">
        <v>4100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9091-8936-46BE-8DCE-5E605AC5D2C2}">
  <dimension ref="A1:G73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6.88671875" bestFit="1" customWidth="1"/>
    <col min="4" max="4" width="12.6640625" bestFit="1" customWidth="1"/>
    <col min="5" max="5" width="12.44140625" bestFit="1" customWidth="1"/>
    <col min="6" max="6" width="10.44140625" bestFit="1" customWidth="1"/>
    <col min="7" max="7" width="5.33203125" bestFit="1" customWidth="1"/>
  </cols>
  <sheetData>
    <row r="1" spans="1:5" x14ac:dyDescent="0.3">
      <c r="A1" s="93" t="s">
        <v>52</v>
      </c>
    </row>
    <row r="2" spans="1:5" x14ac:dyDescent="0.3">
      <c r="A2" s="93" t="s">
        <v>53</v>
      </c>
    </row>
    <row r="3" spans="1:5" x14ac:dyDescent="0.3">
      <c r="A3" s="93" t="s">
        <v>183</v>
      </c>
    </row>
    <row r="4" spans="1:5" x14ac:dyDescent="0.3">
      <c r="A4" s="93" t="s">
        <v>55</v>
      </c>
    </row>
    <row r="5" spans="1:5" x14ac:dyDescent="0.3">
      <c r="A5" s="93" t="s">
        <v>56</v>
      </c>
    </row>
    <row r="6" spans="1:5" x14ac:dyDescent="0.3">
      <c r="A6" s="93"/>
      <c r="B6" t="s">
        <v>184</v>
      </c>
    </row>
    <row r="7" spans="1:5" x14ac:dyDescent="0.3">
      <c r="A7" s="93"/>
      <c r="B7" t="s">
        <v>185</v>
      </c>
    </row>
    <row r="8" spans="1:5" x14ac:dyDescent="0.3">
      <c r="A8" s="93"/>
      <c r="B8" t="s">
        <v>186</v>
      </c>
    </row>
    <row r="9" spans="1:5" x14ac:dyDescent="0.3">
      <c r="A9" s="93" t="s">
        <v>60</v>
      </c>
    </row>
    <row r="10" spans="1:5" x14ac:dyDescent="0.3">
      <c r="B10" t="s">
        <v>61</v>
      </c>
    </row>
    <row r="11" spans="1:5" x14ac:dyDescent="0.3">
      <c r="B11" t="s">
        <v>63</v>
      </c>
    </row>
    <row r="14" spans="1:5" ht="15" thickBot="1" x14ac:dyDescent="0.35">
      <c r="A14" t="s">
        <v>64</v>
      </c>
    </row>
    <row r="15" spans="1:5" ht="15" thickBot="1" x14ac:dyDescent="0.35">
      <c r="B15" s="95" t="s">
        <v>65</v>
      </c>
      <c r="C15" s="95" t="s">
        <v>66</v>
      </c>
      <c r="D15" s="95" t="s">
        <v>67</v>
      </c>
      <c r="E15" s="95" t="s">
        <v>68</v>
      </c>
    </row>
    <row r="16" spans="1:5" ht="15" thickBot="1" x14ac:dyDescent="0.35">
      <c r="B16" s="94" t="s">
        <v>76</v>
      </c>
      <c r="C16" s="94" t="s">
        <v>77</v>
      </c>
      <c r="D16" s="97">
        <v>4100</v>
      </c>
      <c r="E16" s="97">
        <v>4100</v>
      </c>
    </row>
    <row r="19" spans="1:6" ht="15" thickBot="1" x14ac:dyDescent="0.35">
      <c r="A19" t="s">
        <v>69</v>
      </c>
    </row>
    <row r="20" spans="1:6" ht="15" thickBot="1" x14ac:dyDescent="0.35">
      <c r="B20" s="95" t="s">
        <v>65</v>
      </c>
      <c r="C20" s="95" t="s">
        <v>66</v>
      </c>
      <c r="D20" s="95" t="s">
        <v>67</v>
      </c>
      <c r="E20" s="95" t="s">
        <v>68</v>
      </c>
      <c r="F20" s="95" t="s">
        <v>70</v>
      </c>
    </row>
    <row r="21" spans="1:6" x14ac:dyDescent="0.3">
      <c r="B21" s="96" t="s">
        <v>78</v>
      </c>
      <c r="C21" s="96" t="s">
        <v>79</v>
      </c>
      <c r="D21" s="98">
        <v>50</v>
      </c>
      <c r="E21" s="98">
        <v>50</v>
      </c>
      <c r="F21" s="96" t="s">
        <v>80</v>
      </c>
    </row>
    <row r="22" spans="1:6" x14ac:dyDescent="0.3">
      <c r="B22" s="96" t="s">
        <v>81</v>
      </c>
      <c r="C22" s="96" t="s">
        <v>82</v>
      </c>
      <c r="D22" s="98">
        <v>0</v>
      </c>
      <c r="E22" s="98">
        <v>0</v>
      </c>
      <c r="F22" s="96" t="s">
        <v>80</v>
      </c>
    </row>
    <row r="23" spans="1:6" x14ac:dyDescent="0.3">
      <c r="B23" s="96" t="s">
        <v>83</v>
      </c>
      <c r="C23" s="96" t="s">
        <v>84</v>
      </c>
      <c r="D23" s="98">
        <v>0</v>
      </c>
      <c r="E23" s="98">
        <v>0</v>
      </c>
      <c r="F23" s="96" t="s">
        <v>80</v>
      </c>
    </row>
    <row r="24" spans="1:6" x14ac:dyDescent="0.3">
      <c r="B24" s="96" t="s">
        <v>85</v>
      </c>
      <c r="C24" s="96" t="s">
        <v>86</v>
      </c>
      <c r="D24" s="98">
        <v>0</v>
      </c>
      <c r="E24" s="98">
        <v>0</v>
      </c>
      <c r="F24" s="96" t="s">
        <v>80</v>
      </c>
    </row>
    <row r="25" spans="1:6" x14ac:dyDescent="0.3">
      <c r="B25" s="96" t="s">
        <v>87</v>
      </c>
      <c r="C25" s="96" t="s">
        <v>88</v>
      </c>
      <c r="D25" s="98">
        <v>0</v>
      </c>
      <c r="E25" s="98">
        <v>0</v>
      </c>
      <c r="F25" s="96" t="s">
        <v>80</v>
      </c>
    </row>
    <row r="26" spans="1:6" x14ac:dyDescent="0.3">
      <c r="B26" s="96" t="s">
        <v>89</v>
      </c>
      <c r="C26" s="96" t="s">
        <v>90</v>
      </c>
      <c r="D26" s="98">
        <v>0</v>
      </c>
      <c r="E26" s="98">
        <v>0</v>
      </c>
      <c r="F26" s="96" t="s">
        <v>80</v>
      </c>
    </row>
    <row r="27" spans="1:6" x14ac:dyDescent="0.3">
      <c r="B27" s="96" t="s">
        <v>91</v>
      </c>
      <c r="C27" s="96" t="s">
        <v>92</v>
      </c>
      <c r="D27" s="98">
        <v>99.999999999999986</v>
      </c>
      <c r="E27" s="98">
        <v>100</v>
      </c>
      <c r="F27" s="96" t="s">
        <v>80</v>
      </c>
    </row>
    <row r="28" spans="1:6" x14ac:dyDescent="0.3">
      <c r="B28" s="96" t="s">
        <v>93</v>
      </c>
      <c r="C28" s="96" t="s">
        <v>94</v>
      </c>
      <c r="D28" s="98">
        <v>0</v>
      </c>
      <c r="E28" s="98">
        <v>0</v>
      </c>
      <c r="F28" s="96" t="s">
        <v>80</v>
      </c>
    </row>
    <row r="29" spans="1:6" x14ac:dyDescent="0.3">
      <c r="B29" s="96" t="s">
        <v>95</v>
      </c>
      <c r="C29" s="96" t="s">
        <v>96</v>
      </c>
      <c r="D29" s="98">
        <v>0</v>
      </c>
      <c r="E29" s="98">
        <v>0</v>
      </c>
      <c r="F29" s="96" t="s">
        <v>80</v>
      </c>
    </row>
    <row r="30" spans="1:6" x14ac:dyDescent="0.3">
      <c r="B30" s="96" t="s">
        <v>97</v>
      </c>
      <c r="C30" s="96" t="s">
        <v>98</v>
      </c>
      <c r="D30" s="98">
        <v>149.99999999999997</v>
      </c>
      <c r="E30" s="98">
        <v>150</v>
      </c>
      <c r="F30" s="96" t="s">
        <v>80</v>
      </c>
    </row>
    <row r="31" spans="1:6" x14ac:dyDescent="0.3">
      <c r="B31" s="96" t="s">
        <v>99</v>
      </c>
      <c r="C31" s="96" t="s">
        <v>100</v>
      </c>
      <c r="D31" s="98">
        <v>0</v>
      </c>
      <c r="E31" s="98">
        <v>0</v>
      </c>
      <c r="F31" s="96" t="s">
        <v>80</v>
      </c>
    </row>
    <row r="32" spans="1:6" x14ac:dyDescent="0.3">
      <c r="B32" s="96" t="s">
        <v>101</v>
      </c>
      <c r="C32" s="96" t="s">
        <v>102</v>
      </c>
      <c r="D32" s="98">
        <v>0</v>
      </c>
      <c r="E32" s="98">
        <v>0</v>
      </c>
      <c r="F32" s="96" t="s">
        <v>80</v>
      </c>
    </row>
    <row r="33" spans="1:7" x14ac:dyDescent="0.3">
      <c r="B33" s="96" t="s">
        <v>103</v>
      </c>
      <c r="C33" s="96" t="s">
        <v>104</v>
      </c>
      <c r="D33" s="98">
        <v>1.0658141036401503E-14</v>
      </c>
      <c r="E33" s="98">
        <v>0</v>
      </c>
      <c r="F33" s="96" t="s">
        <v>80</v>
      </c>
    </row>
    <row r="34" spans="1:7" x14ac:dyDescent="0.3">
      <c r="B34" s="96" t="s">
        <v>105</v>
      </c>
      <c r="C34" s="96" t="s">
        <v>106</v>
      </c>
      <c r="D34" s="98">
        <v>2.4868995751603507E-14</v>
      </c>
      <c r="E34" s="98">
        <v>0</v>
      </c>
      <c r="F34" s="96" t="s">
        <v>80</v>
      </c>
    </row>
    <row r="35" spans="1:7" x14ac:dyDescent="0.3">
      <c r="B35" s="96" t="s">
        <v>107</v>
      </c>
      <c r="C35" s="96" t="s">
        <v>108</v>
      </c>
      <c r="D35" s="98">
        <v>66.541840297165322</v>
      </c>
      <c r="E35" s="98">
        <v>0</v>
      </c>
      <c r="F35" s="96" t="s">
        <v>80</v>
      </c>
    </row>
    <row r="36" spans="1:7" x14ac:dyDescent="0.3">
      <c r="B36" s="96" t="s">
        <v>109</v>
      </c>
      <c r="C36" s="96" t="s">
        <v>110</v>
      </c>
      <c r="D36" s="98">
        <v>83.458159702834635</v>
      </c>
      <c r="E36" s="98">
        <v>150</v>
      </c>
      <c r="F36" s="96" t="s">
        <v>80</v>
      </c>
    </row>
    <row r="37" spans="1:7" x14ac:dyDescent="0.3">
      <c r="B37" s="96" t="s">
        <v>111</v>
      </c>
      <c r="C37" s="96" t="s">
        <v>112</v>
      </c>
      <c r="D37" s="98">
        <v>0</v>
      </c>
      <c r="E37" s="98">
        <v>0</v>
      </c>
      <c r="F37" s="96" t="s">
        <v>80</v>
      </c>
    </row>
    <row r="38" spans="1:7" x14ac:dyDescent="0.3">
      <c r="B38" s="96" t="s">
        <v>113</v>
      </c>
      <c r="C38" s="96" t="s">
        <v>114</v>
      </c>
      <c r="D38" s="98">
        <v>0</v>
      </c>
      <c r="E38" s="98">
        <v>0</v>
      </c>
      <c r="F38" s="96" t="s">
        <v>80</v>
      </c>
    </row>
    <row r="39" spans="1:7" x14ac:dyDescent="0.3">
      <c r="B39" s="96" t="s">
        <v>115</v>
      </c>
      <c r="C39" s="96" t="s">
        <v>116</v>
      </c>
      <c r="D39" s="98">
        <v>33.458159702834649</v>
      </c>
      <c r="E39" s="98">
        <v>100</v>
      </c>
      <c r="F39" s="96" t="s">
        <v>80</v>
      </c>
    </row>
    <row r="40" spans="1:7" ht="15" thickBot="1" x14ac:dyDescent="0.35">
      <c r="B40" s="94" t="s">
        <v>117</v>
      </c>
      <c r="C40" s="94" t="s">
        <v>118</v>
      </c>
      <c r="D40" s="97">
        <v>66.541840297165351</v>
      </c>
      <c r="E40" s="97">
        <v>0</v>
      </c>
      <c r="F40" s="94" t="s">
        <v>80</v>
      </c>
    </row>
    <row r="43" spans="1:7" ht="15" thickBot="1" x14ac:dyDescent="0.35">
      <c r="A43" t="s">
        <v>71</v>
      </c>
    </row>
    <row r="44" spans="1:7" ht="15" thickBot="1" x14ac:dyDescent="0.35">
      <c r="B44" s="95" t="s">
        <v>65</v>
      </c>
      <c r="C44" s="95" t="s">
        <v>66</v>
      </c>
      <c r="D44" s="95" t="s">
        <v>72</v>
      </c>
      <c r="E44" s="95" t="s">
        <v>73</v>
      </c>
      <c r="F44" s="95" t="s">
        <v>74</v>
      </c>
      <c r="G44" s="95" t="s">
        <v>75</v>
      </c>
    </row>
    <row r="45" spans="1:7" x14ac:dyDescent="0.3">
      <c r="B45" s="96" t="s">
        <v>119</v>
      </c>
      <c r="C45" s="96" t="s">
        <v>120</v>
      </c>
      <c r="D45" s="98">
        <v>50</v>
      </c>
      <c r="E45" s="96" t="s">
        <v>121</v>
      </c>
      <c r="F45" s="96" t="s">
        <v>122</v>
      </c>
      <c r="G45" s="96">
        <v>0</v>
      </c>
    </row>
    <row r="46" spans="1:7" x14ac:dyDescent="0.3">
      <c r="B46" s="96" t="s">
        <v>123</v>
      </c>
      <c r="C46" s="96" t="s">
        <v>124</v>
      </c>
      <c r="D46" s="98">
        <v>150</v>
      </c>
      <c r="E46" s="96" t="s">
        <v>125</v>
      </c>
      <c r="F46" s="96" t="s">
        <v>122</v>
      </c>
      <c r="G46" s="96">
        <v>0</v>
      </c>
    </row>
    <row r="47" spans="1:7" x14ac:dyDescent="0.3">
      <c r="B47" s="96" t="s">
        <v>126</v>
      </c>
      <c r="C47" s="96" t="s">
        <v>127</v>
      </c>
      <c r="D47" s="98">
        <v>200</v>
      </c>
      <c r="E47" s="96" t="s">
        <v>128</v>
      </c>
      <c r="F47" s="96" t="s">
        <v>122</v>
      </c>
      <c r="G47" s="96">
        <v>0</v>
      </c>
    </row>
    <row r="48" spans="1:7" x14ac:dyDescent="0.3">
      <c r="B48" s="96" t="s">
        <v>129</v>
      </c>
      <c r="C48" s="96" t="s">
        <v>130</v>
      </c>
      <c r="D48" s="98">
        <v>150</v>
      </c>
      <c r="E48" s="96" t="s">
        <v>131</v>
      </c>
      <c r="F48" s="96" t="s">
        <v>122</v>
      </c>
      <c r="G48" s="96">
        <v>0</v>
      </c>
    </row>
    <row r="49" spans="2:7" x14ac:dyDescent="0.3">
      <c r="B49" s="96" t="s">
        <v>132</v>
      </c>
      <c r="C49" s="96" t="s">
        <v>133</v>
      </c>
      <c r="D49" s="98">
        <v>50</v>
      </c>
      <c r="E49" s="96" t="s">
        <v>134</v>
      </c>
      <c r="F49" s="96" t="s">
        <v>122</v>
      </c>
      <c r="G49" s="96">
        <v>0</v>
      </c>
    </row>
    <row r="50" spans="2:7" x14ac:dyDescent="0.3">
      <c r="B50" s="96" t="s">
        <v>135</v>
      </c>
      <c r="C50" s="96" t="s">
        <v>136</v>
      </c>
      <c r="D50" s="98">
        <v>100</v>
      </c>
      <c r="E50" s="96" t="s">
        <v>137</v>
      </c>
      <c r="F50" s="96" t="s">
        <v>122</v>
      </c>
      <c r="G50" s="96">
        <v>0</v>
      </c>
    </row>
    <row r="51" spans="2:7" x14ac:dyDescent="0.3">
      <c r="B51" s="96" t="s">
        <v>138</v>
      </c>
      <c r="C51" s="96" t="s">
        <v>139</v>
      </c>
      <c r="D51" s="98">
        <v>150</v>
      </c>
      <c r="E51" s="96" t="s">
        <v>140</v>
      </c>
      <c r="F51" s="96" t="s">
        <v>122</v>
      </c>
      <c r="G51" s="96">
        <v>0</v>
      </c>
    </row>
    <row r="52" spans="2:7" x14ac:dyDescent="0.3">
      <c r="B52" s="96" t="s">
        <v>141</v>
      </c>
      <c r="C52" s="96" t="s">
        <v>142</v>
      </c>
      <c r="D52" s="98">
        <v>150</v>
      </c>
      <c r="E52" s="96" t="s">
        <v>143</v>
      </c>
      <c r="F52" s="96" t="s">
        <v>122</v>
      </c>
      <c r="G52" s="96">
        <v>0</v>
      </c>
    </row>
    <row r="53" spans="2:7" x14ac:dyDescent="0.3">
      <c r="B53" s="96" t="s">
        <v>144</v>
      </c>
      <c r="C53" s="96" t="s">
        <v>145</v>
      </c>
      <c r="D53" s="98">
        <v>100</v>
      </c>
      <c r="E53" s="96" t="s">
        <v>146</v>
      </c>
      <c r="F53" s="96" t="s">
        <v>122</v>
      </c>
      <c r="G53" s="96">
        <v>0</v>
      </c>
    </row>
    <row r="54" spans="2:7" x14ac:dyDescent="0.3">
      <c r="B54" s="96" t="s">
        <v>78</v>
      </c>
      <c r="C54" s="96" t="s">
        <v>79</v>
      </c>
      <c r="D54" s="98">
        <v>50</v>
      </c>
      <c r="E54" s="96" t="s">
        <v>147</v>
      </c>
      <c r="F54" s="96" t="s">
        <v>148</v>
      </c>
      <c r="G54" s="98">
        <v>50</v>
      </c>
    </row>
    <row r="55" spans="2:7" x14ac:dyDescent="0.3">
      <c r="B55" s="96" t="s">
        <v>81</v>
      </c>
      <c r="C55" s="96" t="s">
        <v>82</v>
      </c>
      <c r="D55" s="98">
        <v>0</v>
      </c>
      <c r="E55" s="96" t="s">
        <v>149</v>
      </c>
      <c r="F55" s="96" t="s">
        <v>122</v>
      </c>
      <c r="G55" s="98">
        <v>0</v>
      </c>
    </row>
    <row r="56" spans="2:7" x14ac:dyDescent="0.3">
      <c r="B56" s="96" t="s">
        <v>83</v>
      </c>
      <c r="C56" s="96" t="s">
        <v>84</v>
      </c>
      <c r="D56" s="98">
        <v>0</v>
      </c>
      <c r="E56" s="96" t="s">
        <v>150</v>
      </c>
      <c r="F56" s="96" t="s">
        <v>122</v>
      </c>
      <c r="G56" s="98">
        <v>0</v>
      </c>
    </row>
    <row r="57" spans="2:7" x14ac:dyDescent="0.3">
      <c r="B57" s="96" t="s">
        <v>85</v>
      </c>
      <c r="C57" s="96" t="s">
        <v>86</v>
      </c>
      <c r="D57" s="98">
        <v>0</v>
      </c>
      <c r="E57" s="96" t="s">
        <v>151</v>
      </c>
      <c r="F57" s="96" t="s">
        <v>122</v>
      </c>
      <c r="G57" s="98">
        <v>0</v>
      </c>
    </row>
    <row r="58" spans="2:7" x14ac:dyDescent="0.3">
      <c r="B58" s="96" t="s">
        <v>87</v>
      </c>
      <c r="C58" s="96" t="s">
        <v>88</v>
      </c>
      <c r="D58" s="98">
        <v>0</v>
      </c>
      <c r="E58" s="96" t="s">
        <v>152</v>
      </c>
      <c r="F58" s="96" t="s">
        <v>122</v>
      </c>
      <c r="G58" s="98">
        <v>0</v>
      </c>
    </row>
    <row r="59" spans="2:7" x14ac:dyDescent="0.3">
      <c r="B59" s="96" t="s">
        <v>89</v>
      </c>
      <c r="C59" s="96" t="s">
        <v>90</v>
      </c>
      <c r="D59" s="98">
        <v>0</v>
      </c>
      <c r="E59" s="96" t="s">
        <v>153</v>
      </c>
      <c r="F59" s="96" t="s">
        <v>122</v>
      </c>
      <c r="G59" s="98">
        <v>0</v>
      </c>
    </row>
    <row r="60" spans="2:7" x14ac:dyDescent="0.3">
      <c r="B60" s="96" t="s">
        <v>91</v>
      </c>
      <c r="C60" s="96" t="s">
        <v>92</v>
      </c>
      <c r="D60" s="98">
        <v>100</v>
      </c>
      <c r="E60" s="96" t="s">
        <v>154</v>
      </c>
      <c r="F60" s="96" t="s">
        <v>148</v>
      </c>
      <c r="G60" s="98">
        <v>100</v>
      </c>
    </row>
    <row r="61" spans="2:7" x14ac:dyDescent="0.3">
      <c r="B61" s="96" t="s">
        <v>93</v>
      </c>
      <c r="C61" s="96" t="s">
        <v>94</v>
      </c>
      <c r="D61" s="98">
        <v>0</v>
      </c>
      <c r="E61" s="96" t="s">
        <v>155</v>
      </c>
      <c r="F61" s="96" t="s">
        <v>122</v>
      </c>
      <c r="G61" s="98">
        <v>0</v>
      </c>
    </row>
    <row r="62" spans="2:7" x14ac:dyDescent="0.3">
      <c r="B62" s="96" t="s">
        <v>95</v>
      </c>
      <c r="C62" s="96" t="s">
        <v>96</v>
      </c>
      <c r="D62" s="98">
        <v>0</v>
      </c>
      <c r="E62" s="96" t="s">
        <v>156</v>
      </c>
      <c r="F62" s="96" t="s">
        <v>122</v>
      </c>
      <c r="G62" s="98">
        <v>0</v>
      </c>
    </row>
    <row r="63" spans="2:7" x14ac:dyDescent="0.3">
      <c r="B63" s="96" t="s">
        <v>97</v>
      </c>
      <c r="C63" s="96" t="s">
        <v>98</v>
      </c>
      <c r="D63" s="98">
        <v>150</v>
      </c>
      <c r="E63" s="96" t="s">
        <v>157</v>
      </c>
      <c r="F63" s="96" t="s">
        <v>148</v>
      </c>
      <c r="G63" s="98">
        <v>150</v>
      </c>
    </row>
    <row r="64" spans="2:7" x14ac:dyDescent="0.3">
      <c r="B64" s="96" t="s">
        <v>99</v>
      </c>
      <c r="C64" s="96" t="s">
        <v>100</v>
      </c>
      <c r="D64" s="98">
        <v>0</v>
      </c>
      <c r="E64" s="96" t="s">
        <v>158</v>
      </c>
      <c r="F64" s="96" t="s">
        <v>122</v>
      </c>
      <c r="G64" s="98">
        <v>0</v>
      </c>
    </row>
    <row r="65" spans="2:7" x14ac:dyDescent="0.3">
      <c r="B65" s="96" t="s">
        <v>101</v>
      </c>
      <c r="C65" s="96" t="s">
        <v>102</v>
      </c>
      <c r="D65" s="98">
        <v>0</v>
      </c>
      <c r="E65" s="96" t="s">
        <v>159</v>
      </c>
      <c r="F65" s="96" t="s">
        <v>122</v>
      </c>
      <c r="G65" s="98">
        <v>0</v>
      </c>
    </row>
    <row r="66" spans="2:7" x14ac:dyDescent="0.3">
      <c r="B66" s="96" t="s">
        <v>103</v>
      </c>
      <c r="C66" s="96" t="s">
        <v>104</v>
      </c>
      <c r="D66" s="98">
        <v>0</v>
      </c>
      <c r="E66" s="96" t="s">
        <v>160</v>
      </c>
      <c r="F66" s="96" t="s">
        <v>122</v>
      </c>
      <c r="G66" s="98">
        <v>0</v>
      </c>
    </row>
    <row r="67" spans="2:7" x14ac:dyDescent="0.3">
      <c r="B67" s="96" t="s">
        <v>105</v>
      </c>
      <c r="C67" s="96" t="s">
        <v>106</v>
      </c>
      <c r="D67" s="98">
        <v>0</v>
      </c>
      <c r="E67" s="96" t="s">
        <v>161</v>
      </c>
      <c r="F67" s="96" t="s">
        <v>122</v>
      </c>
      <c r="G67" s="98">
        <v>0</v>
      </c>
    </row>
    <row r="68" spans="2:7" x14ac:dyDescent="0.3">
      <c r="B68" s="96" t="s">
        <v>107</v>
      </c>
      <c r="C68" s="96" t="s">
        <v>108</v>
      </c>
      <c r="D68" s="98">
        <v>0</v>
      </c>
      <c r="E68" s="96" t="s">
        <v>162</v>
      </c>
      <c r="F68" s="96" t="s">
        <v>122</v>
      </c>
      <c r="G68" s="98">
        <v>0</v>
      </c>
    </row>
    <row r="69" spans="2:7" x14ac:dyDescent="0.3">
      <c r="B69" s="96" t="s">
        <v>109</v>
      </c>
      <c r="C69" s="96" t="s">
        <v>110</v>
      </c>
      <c r="D69" s="98">
        <v>150</v>
      </c>
      <c r="E69" s="96" t="s">
        <v>163</v>
      </c>
      <c r="F69" s="96" t="s">
        <v>148</v>
      </c>
      <c r="G69" s="98">
        <v>150</v>
      </c>
    </row>
    <row r="70" spans="2:7" x14ac:dyDescent="0.3">
      <c r="B70" s="96" t="s">
        <v>111</v>
      </c>
      <c r="C70" s="96" t="s">
        <v>112</v>
      </c>
      <c r="D70" s="98">
        <v>0</v>
      </c>
      <c r="E70" s="96" t="s">
        <v>164</v>
      </c>
      <c r="F70" s="96" t="s">
        <v>122</v>
      </c>
      <c r="G70" s="98">
        <v>0</v>
      </c>
    </row>
    <row r="71" spans="2:7" x14ac:dyDescent="0.3">
      <c r="B71" s="96" t="s">
        <v>113</v>
      </c>
      <c r="C71" s="96" t="s">
        <v>114</v>
      </c>
      <c r="D71" s="98">
        <v>0</v>
      </c>
      <c r="E71" s="96" t="s">
        <v>165</v>
      </c>
      <c r="F71" s="96" t="s">
        <v>122</v>
      </c>
      <c r="G71" s="98">
        <v>0</v>
      </c>
    </row>
    <row r="72" spans="2:7" x14ac:dyDescent="0.3">
      <c r="B72" s="96" t="s">
        <v>115</v>
      </c>
      <c r="C72" s="96" t="s">
        <v>116</v>
      </c>
      <c r="D72" s="98">
        <v>100</v>
      </c>
      <c r="E72" s="96" t="s">
        <v>166</v>
      </c>
      <c r="F72" s="96" t="s">
        <v>148</v>
      </c>
      <c r="G72" s="98">
        <v>100</v>
      </c>
    </row>
    <row r="73" spans="2:7" ht="15" thickBot="1" x14ac:dyDescent="0.35">
      <c r="B73" s="94" t="s">
        <v>117</v>
      </c>
      <c r="C73" s="94" t="s">
        <v>118</v>
      </c>
      <c r="D73" s="97">
        <v>0</v>
      </c>
      <c r="E73" s="94" t="s">
        <v>167</v>
      </c>
      <c r="F73" s="94" t="s">
        <v>122</v>
      </c>
      <c r="G73" s="9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AE18-0DB1-4A5E-947C-E1524FE1C300}">
  <dimension ref="A1:H41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6.88671875" bestFit="1" customWidth="1"/>
    <col min="4" max="4" width="5.77734375" bestFit="1" customWidth="1"/>
    <col min="5" max="5" width="8.33203125" bestFit="1" customWidth="1"/>
    <col min="6" max="6" width="10.109375" bestFit="1" customWidth="1"/>
    <col min="7" max="8" width="9.21875" bestFit="1" customWidth="1"/>
  </cols>
  <sheetData>
    <row r="1" spans="1:8" x14ac:dyDescent="0.3">
      <c r="A1" s="93" t="s">
        <v>168</v>
      </c>
    </row>
    <row r="2" spans="1:8" x14ac:dyDescent="0.3">
      <c r="A2" s="93" t="s">
        <v>53</v>
      </c>
    </row>
    <row r="3" spans="1:8" x14ac:dyDescent="0.3">
      <c r="A3" s="93" t="s">
        <v>187</v>
      </c>
    </row>
    <row r="6" spans="1:8" ht="15" thickBot="1" x14ac:dyDescent="0.35">
      <c r="A6" t="s">
        <v>69</v>
      </c>
    </row>
    <row r="7" spans="1:8" x14ac:dyDescent="0.3">
      <c r="B7" s="99"/>
      <c r="C7" s="99"/>
      <c r="D7" s="99" t="s">
        <v>170</v>
      </c>
      <c r="E7" s="99" t="s">
        <v>172</v>
      </c>
      <c r="F7" s="99" t="s">
        <v>177</v>
      </c>
      <c r="G7" s="99" t="s">
        <v>190</v>
      </c>
      <c r="H7" s="99" t="s">
        <v>190</v>
      </c>
    </row>
    <row r="8" spans="1:8" ht="15" thickBot="1" x14ac:dyDescent="0.35">
      <c r="B8" s="100" t="s">
        <v>65</v>
      </c>
      <c r="C8" s="100" t="s">
        <v>66</v>
      </c>
      <c r="D8" s="100" t="s">
        <v>171</v>
      </c>
      <c r="E8" s="100" t="s">
        <v>188</v>
      </c>
      <c r="F8" s="100" t="s">
        <v>189</v>
      </c>
      <c r="G8" s="100" t="s">
        <v>191</v>
      </c>
      <c r="H8" s="100" t="s">
        <v>192</v>
      </c>
    </row>
    <row r="9" spans="1:8" x14ac:dyDescent="0.3">
      <c r="B9" s="96" t="s">
        <v>78</v>
      </c>
      <c r="C9" s="96" t="s">
        <v>79</v>
      </c>
      <c r="D9" s="96">
        <v>50</v>
      </c>
      <c r="E9" s="96">
        <v>0</v>
      </c>
      <c r="F9" s="96">
        <v>50</v>
      </c>
      <c r="G9" s="96">
        <v>100</v>
      </c>
      <c r="H9" s="96">
        <v>1E+30</v>
      </c>
    </row>
    <row r="10" spans="1:8" x14ac:dyDescent="0.3">
      <c r="B10" s="96" t="s">
        <v>81</v>
      </c>
      <c r="C10" s="96" t="s">
        <v>82</v>
      </c>
      <c r="D10" s="96">
        <v>0</v>
      </c>
      <c r="E10" s="96">
        <v>0</v>
      </c>
      <c r="F10" s="96">
        <v>150</v>
      </c>
      <c r="G10" s="96">
        <v>0</v>
      </c>
      <c r="H10" s="96">
        <v>1</v>
      </c>
    </row>
    <row r="11" spans="1:8" x14ac:dyDescent="0.3">
      <c r="B11" s="96" t="s">
        <v>83</v>
      </c>
      <c r="C11" s="96" t="s">
        <v>84</v>
      </c>
      <c r="D11" s="96">
        <v>0</v>
      </c>
      <c r="E11" s="96">
        <v>48</v>
      </c>
      <c r="F11" s="96">
        <v>200</v>
      </c>
      <c r="G11" s="96">
        <v>1E+30</v>
      </c>
      <c r="H11" s="96">
        <v>48</v>
      </c>
    </row>
    <row r="12" spans="1:8" x14ac:dyDescent="0.3">
      <c r="B12" s="96" t="s">
        <v>85</v>
      </c>
      <c r="C12" s="96" t="s">
        <v>86</v>
      </c>
      <c r="D12" s="96">
        <v>0</v>
      </c>
      <c r="E12" s="96">
        <v>0</v>
      </c>
      <c r="F12" s="96">
        <v>150</v>
      </c>
      <c r="G12" s="96">
        <v>1</v>
      </c>
      <c r="H12" s="96">
        <v>0</v>
      </c>
    </row>
    <row r="13" spans="1:8" x14ac:dyDescent="0.3">
      <c r="B13" s="96" t="s">
        <v>87</v>
      </c>
      <c r="C13" s="96" t="s">
        <v>88</v>
      </c>
      <c r="D13" s="96">
        <v>0</v>
      </c>
      <c r="E13" s="96">
        <v>100</v>
      </c>
      <c r="F13" s="96">
        <v>4</v>
      </c>
      <c r="G13" s="96">
        <v>1E+30</v>
      </c>
      <c r="H13" s="96">
        <v>100</v>
      </c>
    </row>
    <row r="14" spans="1:8" x14ac:dyDescent="0.3">
      <c r="B14" s="96" t="s">
        <v>89</v>
      </c>
      <c r="C14" s="96" t="s">
        <v>90</v>
      </c>
      <c r="D14" s="96">
        <v>0</v>
      </c>
      <c r="E14" s="96">
        <v>1</v>
      </c>
      <c r="F14" s="96">
        <v>5</v>
      </c>
      <c r="G14" s="96">
        <v>1E+30</v>
      </c>
      <c r="H14" s="96">
        <v>1</v>
      </c>
    </row>
    <row r="15" spans="1:8" x14ac:dyDescent="0.3">
      <c r="B15" s="96" t="s">
        <v>91</v>
      </c>
      <c r="C15" s="96" t="s">
        <v>92</v>
      </c>
      <c r="D15" s="96">
        <v>100</v>
      </c>
      <c r="E15" s="96">
        <v>0</v>
      </c>
      <c r="F15" s="96">
        <v>6</v>
      </c>
      <c r="G15" s="96">
        <v>1</v>
      </c>
      <c r="H15" s="96">
        <v>1E+30</v>
      </c>
    </row>
    <row r="16" spans="1:8" x14ac:dyDescent="0.3">
      <c r="B16" s="96" t="s">
        <v>93</v>
      </c>
      <c r="C16" s="96" t="s">
        <v>94</v>
      </c>
      <c r="D16" s="96">
        <v>0</v>
      </c>
      <c r="E16" s="96">
        <v>6</v>
      </c>
      <c r="F16" s="96">
        <v>10</v>
      </c>
      <c r="G16" s="96">
        <v>1E+30</v>
      </c>
      <c r="H16" s="96">
        <v>6</v>
      </c>
    </row>
    <row r="17" spans="1:8" x14ac:dyDescent="0.3">
      <c r="B17" s="96" t="s">
        <v>95</v>
      </c>
      <c r="C17" s="96" t="s">
        <v>96</v>
      </c>
      <c r="D17" s="96">
        <v>0</v>
      </c>
      <c r="E17" s="96">
        <v>103</v>
      </c>
      <c r="F17" s="96">
        <v>6</v>
      </c>
      <c r="G17" s="96">
        <v>1E+30</v>
      </c>
      <c r="H17" s="96">
        <v>103</v>
      </c>
    </row>
    <row r="18" spans="1:8" x14ac:dyDescent="0.3">
      <c r="B18" s="96" t="s">
        <v>97</v>
      </c>
      <c r="C18" s="96" t="s">
        <v>98</v>
      </c>
      <c r="D18" s="96">
        <v>150</v>
      </c>
      <c r="E18" s="96">
        <v>0</v>
      </c>
      <c r="F18" s="96">
        <v>3</v>
      </c>
      <c r="G18" s="96">
        <v>1</v>
      </c>
      <c r="H18" s="96">
        <v>1E+30</v>
      </c>
    </row>
    <row r="19" spans="1:8" x14ac:dyDescent="0.3">
      <c r="B19" s="96" t="s">
        <v>99</v>
      </c>
      <c r="C19" s="96" t="s">
        <v>100</v>
      </c>
      <c r="D19" s="96">
        <v>0</v>
      </c>
      <c r="E19" s="96">
        <v>3</v>
      </c>
      <c r="F19" s="96">
        <v>8</v>
      </c>
      <c r="G19" s="96">
        <v>1E+30</v>
      </c>
      <c r="H19" s="96">
        <v>3</v>
      </c>
    </row>
    <row r="20" spans="1:8" x14ac:dyDescent="0.3">
      <c r="B20" s="96" t="s">
        <v>101</v>
      </c>
      <c r="C20" s="96" t="s">
        <v>102</v>
      </c>
      <c r="D20" s="96">
        <v>0</v>
      </c>
      <c r="E20" s="96">
        <v>1</v>
      </c>
      <c r="F20" s="96">
        <v>4</v>
      </c>
      <c r="G20" s="96">
        <v>1E+30</v>
      </c>
      <c r="H20" s="96">
        <v>1</v>
      </c>
    </row>
    <row r="21" spans="1:8" x14ac:dyDescent="0.3">
      <c r="B21" s="96" t="s">
        <v>103</v>
      </c>
      <c r="C21" s="96" t="s">
        <v>104</v>
      </c>
      <c r="D21" s="96">
        <v>0</v>
      </c>
      <c r="E21" s="96">
        <v>104</v>
      </c>
      <c r="F21" s="96">
        <v>5</v>
      </c>
      <c r="G21" s="96">
        <v>1E+30</v>
      </c>
      <c r="H21" s="96">
        <v>104</v>
      </c>
    </row>
    <row r="22" spans="1:8" x14ac:dyDescent="0.3">
      <c r="B22" s="96" t="s">
        <v>105</v>
      </c>
      <c r="C22" s="96" t="s">
        <v>106</v>
      </c>
      <c r="D22" s="96">
        <v>0</v>
      </c>
      <c r="E22" s="96">
        <v>0</v>
      </c>
      <c r="F22" s="96">
        <v>1</v>
      </c>
      <c r="G22" s="96">
        <v>1E+30</v>
      </c>
      <c r="H22" s="96">
        <v>0</v>
      </c>
    </row>
    <row r="23" spans="1:8" x14ac:dyDescent="0.3">
      <c r="B23" s="96" t="s">
        <v>107</v>
      </c>
      <c r="C23" s="96" t="s">
        <v>108</v>
      </c>
      <c r="D23" s="96">
        <v>0</v>
      </c>
      <c r="E23" s="96">
        <v>0</v>
      </c>
      <c r="F23" s="96">
        <v>3</v>
      </c>
      <c r="G23" s="96">
        <v>3</v>
      </c>
      <c r="H23" s="96">
        <v>0</v>
      </c>
    </row>
    <row r="24" spans="1:8" x14ac:dyDescent="0.3">
      <c r="B24" s="96" t="s">
        <v>109</v>
      </c>
      <c r="C24" s="96" t="s">
        <v>110</v>
      </c>
      <c r="D24" s="96">
        <v>150</v>
      </c>
      <c r="E24" s="96">
        <v>0</v>
      </c>
      <c r="F24" s="96">
        <v>1</v>
      </c>
      <c r="G24" s="96">
        <v>0</v>
      </c>
      <c r="H24" s="96">
        <v>3</v>
      </c>
    </row>
    <row r="25" spans="1:8" x14ac:dyDescent="0.3">
      <c r="B25" s="96" t="s">
        <v>111</v>
      </c>
      <c r="C25" s="96" t="s">
        <v>112</v>
      </c>
      <c r="D25" s="96">
        <v>0</v>
      </c>
      <c r="E25" s="96">
        <v>105</v>
      </c>
      <c r="F25" s="96">
        <v>7</v>
      </c>
      <c r="G25" s="96">
        <v>1E+30</v>
      </c>
      <c r="H25" s="96">
        <v>105</v>
      </c>
    </row>
    <row r="26" spans="1:8" x14ac:dyDescent="0.3">
      <c r="B26" s="96" t="s">
        <v>113</v>
      </c>
      <c r="C26" s="96" t="s">
        <v>114</v>
      </c>
      <c r="D26" s="96">
        <v>0</v>
      </c>
      <c r="E26" s="96">
        <v>0</v>
      </c>
      <c r="F26" s="96">
        <v>2</v>
      </c>
      <c r="G26" s="96">
        <v>1E+30</v>
      </c>
      <c r="H26" s="96">
        <v>0</v>
      </c>
    </row>
    <row r="27" spans="1:8" x14ac:dyDescent="0.3">
      <c r="B27" s="96" t="s">
        <v>115</v>
      </c>
      <c r="C27" s="96" t="s">
        <v>116</v>
      </c>
      <c r="D27" s="96">
        <v>100</v>
      </c>
      <c r="E27" s="96">
        <v>0</v>
      </c>
      <c r="F27" s="96">
        <v>4</v>
      </c>
      <c r="G27" s="96">
        <v>0</v>
      </c>
      <c r="H27" s="96">
        <v>1E+30</v>
      </c>
    </row>
    <row r="28" spans="1:8" ht="15" thickBot="1" x14ac:dyDescent="0.35">
      <c r="B28" s="94" t="s">
        <v>117</v>
      </c>
      <c r="C28" s="94" t="s">
        <v>118</v>
      </c>
      <c r="D28" s="94">
        <v>0</v>
      </c>
      <c r="E28" s="94">
        <v>0</v>
      </c>
      <c r="F28" s="94">
        <v>2</v>
      </c>
      <c r="G28" s="94">
        <v>1E+30</v>
      </c>
      <c r="H28" s="94">
        <v>0</v>
      </c>
    </row>
    <row r="30" spans="1:8" ht="15" thickBot="1" x14ac:dyDescent="0.35">
      <c r="A30" t="s">
        <v>71</v>
      </c>
    </row>
    <row r="31" spans="1:8" x14ac:dyDescent="0.3">
      <c r="B31" s="99"/>
      <c r="C31" s="99"/>
      <c r="D31" s="99" t="s">
        <v>170</v>
      </c>
      <c r="E31" s="99" t="s">
        <v>193</v>
      </c>
      <c r="F31" s="99" t="s">
        <v>195</v>
      </c>
      <c r="G31" s="99" t="s">
        <v>190</v>
      </c>
      <c r="H31" s="99" t="s">
        <v>190</v>
      </c>
    </row>
    <row r="32" spans="1:8" ht="15" thickBot="1" x14ac:dyDescent="0.35">
      <c r="B32" s="100" t="s">
        <v>65</v>
      </c>
      <c r="C32" s="100" t="s">
        <v>66</v>
      </c>
      <c r="D32" s="100" t="s">
        <v>171</v>
      </c>
      <c r="E32" s="100" t="s">
        <v>194</v>
      </c>
      <c r="F32" s="100" t="s">
        <v>196</v>
      </c>
      <c r="G32" s="100" t="s">
        <v>191</v>
      </c>
      <c r="H32" s="100" t="s">
        <v>192</v>
      </c>
    </row>
    <row r="33" spans="2:8" x14ac:dyDescent="0.3">
      <c r="B33" s="96" t="s">
        <v>119</v>
      </c>
      <c r="C33" s="96" t="s">
        <v>120</v>
      </c>
      <c r="D33" s="96">
        <v>50</v>
      </c>
      <c r="E33" s="96">
        <v>-97</v>
      </c>
      <c r="F33" s="96">
        <v>50</v>
      </c>
      <c r="G33" s="96">
        <v>0</v>
      </c>
      <c r="H33" s="96">
        <v>50</v>
      </c>
    </row>
    <row r="34" spans="2:8" x14ac:dyDescent="0.3">
      <c r="B34" s="96" t="s">
        <v>123</v>
      </c>
      <c r="C34" s="96" t="s">
        <v>124</v>
      </c>
      <c r="D34" s="96">
        <v>150</v>
      </c>
      <c r="E34" s="96">
        <v>3</v>
      </c>
      <c r="F34" s="96">
        <v>150</v>
      </c>
      <c r="G34" s="96">
        <v>0</v>
      </c>
      <c r="H34" s="96">
        <v>150</v>
      </c>
    </row>
    <row r="35" spans="2:8" x14ac:dyDescent="0.3">
      <c r="B35" s="96" t="s">
        <v>126</v>
      </c>
      <c r="C35" s="96" t="s">
        <v>127</v>
      </c>
      <c r="D35" s="96">
        <v>200</v>
      </c>
      <c r="E35" s="96">
        <v>5</v>
      </c>
      <c r="F35" s="96">
        <v>200</v>
      </c>
      <c r="G35" s="96">
        <v>0</v>
      </c>
      <c r="H35" s="96">
        <v>0</v>
      </c>
    </row>
    <row r="36" spans="2:8" x14ac:dyDescent="0.3">
      <c r="B36" s="96" t="s">
        <v>129</v>
      </c>
      <c r="C36" s="96" t="s">
        <v>130</v>
      </c>
      <c r="D36" s="96">
        <v>150</v>
      </c>
      <c r="E36" s="96">
        <v>3</v>
      </c>
      <c r="F36" s="96">
        <v>150</v>
      </c>
      <c r="G36" s="96">
        <v>0</v>
      </c>
      <c r="H36" s="96">
        <v>0</v>
      </c>
    </row>
    <row r="37" spans="2:8" x14ac:dyDescent="0.3">
      <c r="B37" s="96" t="s">
        <v>132</v>
      </c>
      <c r="C37" s="96" t="s">
        <v>133</v>
      </c>
      <c r="D37" s="96">
        <v>50</v>
      </c>
      <c r="E37" s="96">
        <v>147</v>
      </c>
      <c r="F37" s="96">
        <v>50</v>
      </c>
      <c r="G37" s="96">
        <v>150</v>
      </c>
      <c r="H37" s="96">
        <v>0</v>
      </c>
    </row>
    <row r="38" spans="2:8" x14ac:dyDescent="0.3">
      <c r="B38" s="96" t="s">
        <v>135</v>
      </c>
      <c r="C38" s="96" t="s">
        <v>136</v>
      </c>
      <c r="D38" s="96">
        <v>100</v>
      </c>
      <c r="E38" s="96">
        <v>1</v>
      </c>
      <c r="F38" s="96">
        <v>100</v>
      </c>
      <c r="G38" s="96">
        <v>0</v>
      </c>
      <c r="H38" s="96">
        <v>0</v>
      </c>
    </row>
    <row r="39" spans="2:8" x14ac:dyDescent="0.3">
      <c r="B39" s="96" t="s">
        <v>138</v>
      </c>
      <c r="C39" s="96" t="s">
        <v>139</v>
      </c>
      <c r="D39" s="96">
        <v>150</v>
      </c>
      <c r="E39" s="96">
        <v>0</v>
      </c>
      <c r="F39" s="96">
        <v>150</v>
      </c>
      <c r="G39" s="96">
        <v>0</v>
      </c>
      <c r="H39" s="96">
        <v>1E+30</v>
      </c>
    </row>
    <row r="40" spans="2:8" x14ac:dyDescent="0.3">
      <c r="B40" s="96" t="s">
        <v>141</v>
      </c>
      <c r="C40" s="96" t="s">
        <v>142</v>
      </c>
      <c r="D40" s="96">
        <v>150</v>
      </c>
      <c r="E40" s="96">
        <v>-2</v>
      </c>
      <c r="F40" s="96">
        <v>150</v>
      </c>
      <c r="G40" s="96">
        <v>0</v>
      </c>
      <c r="H40" s="96">
        <v>0</v>
      </c>
    </row>
    <row r="41" spans="2:8" ht="15" thickBot="1" x14ac:dyDescent="0.35">
      <c r="B41" s="94" t="s">
        <v>144</v>
      </c>
      <c r="C41" s="94" t="s">
        <v>145</v>
      </c>
      <c r="D41" s="94">
        <v>100</v>
      </c>
      <c r="E41" s="94">
        <v>-1</v>
      </c>
      <c r="F41" s="94">
        <v>100</v>
      </c>
      <c r="G41" s="94">
        <v>0</v>
      </c>
      <c r="H41" s="9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0F039-F278-41A5-8867-0F36DA8AFBE0}">
  <dimension ref="A1:J32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" bestFit="1" customWidth="1"/>
    <col min="4" max="4" width="5.77734375" bestFit="1" customWidth="1"/>
    <col min="5" max="5" width="2.33203125" customWidth="1"/>
    <col min="6" max="6" width="6.109375" bestFit="1" customWidth="1"/>
    <col min="7" max="7" width="9" bestFit="1" customWidth="1"/>
    <col min="8" max="8" width="2.33203125" customWidth="1"/>
    <col min="9" max="9" width="6.21875" bestFit="1" customWidth="1"/>
    <col min="10" max="10" width="9" bestFit="1" customWidth="1"/>
  </cols>
  <sheetData>
    <row r="1" spans="1:10" x14ac:dyDescent="0.3">
      <c r="A1" s="93" t="s">
        <v>176</v>
      </c>
    </row>
    <row r="2" spans="1:10" x14ac:dyDescent="0.3">
      <c r="A2" s="93" t="s">
        <v>53</v>
      </c>
    </row>
    <row r="3" spans="1:10" x14ac:dyDescent="0.3">
      <c r="A3" s="93" t="s">
        <v>187</v>
      </c>
    </row>
    <row r="5" spans="1:10" ht="15" thickBot="1" x14ac:dyDescent="0.35"/>
    <row r="6" spans="1:10" x14ac:dyDescent="0.3">
      <c r="B6" s="99"/>
      <c r="C6" s="99" t="s">
        <v>177</v>
      </c>
      <c r="D6" s="99"/>
    </row>
    <row r="7" spans="1:10" ht="15" thickBot="1" x14ac:dyDescent="0.35">
      <c r="B7" s="100" t="s">
        <v>65</v>
      </c>
      <c r="C7" s="100" t="s">
        <v>66</v>
      </c>
      <c r="D7" s="100" t="s">
        <v>171</v>
      </c>
    </row>
    <row r="8" spans="1:10" ht="15" thickBot="1" x14ac:dyDescent="0.35">
      <c r="B8" s="94" t="s">
        <v>76</v>
      </c>
      <c r="C8" s="94" t="s">
        <v>77</v>
      </c>
      <c r="D8" s="97">
        <v>4100</v>
      </c>
    </row>
    <row r="10" spans="1:10" ht="15" thickBot="1" x14ac:dyDescent="0.35"/>
    <row r="11" spans="1:10" x14ac:dyDescent="0.3">
      <c r="B11" s="99"/>
      <c r="C11" s="99" t="s">
        <v>178</v>
      </c>
      <c r="D11" s="99"/>
      <c r="F11" s="99" t="s">
        <v>179</v>
      </c>
      <c r="G11" s="99" t="s">
        <v>177</v>
      </c>
      <c r="I11" s="99" t="s">
        <v>182</v>
      </c>
      <c r="J11" s="99" t="s">
        <v>177</v>
      </c>
    </row>
    <row r="12" spans="1:10" ht="15" thickBot="1" x14ac:dyDescent="0.35">
      <c r="B12" s="100" t="s">
        <v>65</v>
      </c>
      <c r="C12" s="100" t="s">
        <v>66</v>
      </c>
      <c r="D12" s="100" t="s">
        <v>171</v>
      </c>
      <c r="F12" s="100" t="s">
        <v>180</v>
      </c>
      <c r="G12" s="100" t="s">
        <v>181</v>
      </c>
      <c r="I12" s="100" t="s">
        <v>180</v>
      </c>
      <c r="J12" s="100" t="s">
        <v>181</v>
      </c>
    </row>
    <row r="13" spans="1:10" x14ac:dyDescent="0.3">
      <c r="B13" s="96" t="s">
        <v>78</v>
      </c>
      <c r="C13" s="96" t="s">
        <v>79</v>
      </c>
      <c r="D13" s="98">
        <v>50</v>
      </c>
      <c r="F13" s="98">
        <v>50</v>
      </c>
      <c r="G13" s="98">
        <v>4100</v>
      </c>
      <c r="I13" s="98">
        <v>50</v>
      </c>
      <c r="J13" s="98">
        <v>4100</v>
      </c>
    </row>
    <row r="14" spans="1:10" x14ac:dyDescent="0.3">
      <c r="B14" s="96" t="s">
        <v>81</v>
      </c>
      <c r="C14" s="96" t="s">
        <v>82</v>
      </c>
      <c r="D14" s="98">
        <v>0</v>
      </c>
      <c r="F14" s="98">
        <v>0</v>
      </c>
      <c r="G14" s="98">
        <v>4100</v>
      </c>
      <c r="I14" s="98">
        <v>0</v>
      </c>
      <c r="J14" s="98">
        <v>4100</v>
      </c>
    </row>
    <row r="15" spans="1:10" x14ac:dyDescent="0.3">
      <c r="B15" s="96" t="s">
        <v>83</v>
      </c>
      <c r="C15" s="96" t="s">
        <v>84</v>
      </c>
      <c r="D15" s="98">
        <v>0</v>
      </c>
      <c r="F15" s="98">
        <v>0</v>
      </c>
      <c r="G15" s="98">
        <v>4100</v>
      </c>
      <c r="I15" s="98">
        <v>0</v>
      </c>
      <c r="J15" s="98">
        <v>4100</v>
      </c>
    </row>
    <row r="16" spans="1:10" x14ac:dyDescent="0.3">
      <c r="B16" s="96" t="s">
        <v>85</v>
      </c>
      <c r="C16" s="96" t="s">
        <v>86</v>
      </c>
      <c r="D16" s="98">
        <v>0</v>
      </c>
      <c r="F16" s="98">
        <v>0</v>
      </c>
      <c r="G16" s="98">
        <v>4100</v>
      </c>
      <c r="I16" s="98">
        <v>0</v>
      </c>
      <c r="J16" s="98">
        <v>4100</v>
      </c>
    </row>
    <row r="17" spans="2:10" x14ac:dyDescent="0.3">
      <c r="B17" s="96" t="s">
        <v>87</v>
      </c>
      <c r="C17" s="96" t="s">
        <v>88</v>
      </c>
      <c r="D17" s="98">
        <v>0</v>
      </c>
      <c r="F17" s="98">
        <v>0</v>
      </c>
      <c r="G17" s="98">
        <v>4100</v>
      </c>
      <c r="I17" s="98">
        <v>0</v>
      </c>
      <c r="J17" s="98">
        <v>4100</v>
      </c>
    </row>
    <row r="18" spans="2:10" x14ac:dyDescent="0.3">
      <c r="B18" s="96" t="s">
        <v>89</v>
      </c>
      <c r="C18" s="96" t="s">
        <v>90</v>
      </c>
      <c r="D18" s="98">
        <v>0</v>
      </c>
      <c r="F18" s="98">
        <v>0</v>
      </c>
      <c r="G18" s="98">
        <v>4100</v>
      </c>
      <c r="I18" s="98">
        <v>0</v>
      </c>
      <c r="J18" s="98">
        <v>4100</v>
      </c>
    </row>
    <row r="19" spans="2:10" x14ac:dyDescent="0.3">
      <c r="B19" s="96" t="s">
        <v>91</v>
      </c>
      <c r="C19" s="96" t="s">
        <v>92</v>
      </c>
      <c r="D19" s="98">
        <v>100</v>
      </c>
      <c r="F19" s="98">
        <v>100</v>
      </c>
      <c r="G19" s="98">
        <v>4100</v>
      </c>
      <c r="I19" s="98">
        <v>100</v>
      </c>
      <c r="J19" s="98">
        <v>4100</v>
      </c>
    </row>
    <row r="20" spans="2:10" x14ac:dyDescent="0.3">
      <c r="B20" s="96" t="s">
        <v>93</v>
      </c>
      <c r="C20" s="96" t="s">
        <v>94</v>
      </c>
      <c r="D20" s="98">
        <v>0</v>
      </c>
      <c r="F20" s="98">
        <v>0</v>
      </c>
      <c r="G20" s="98">
        <v>4100</v>
      </c>
      <c r="I20" s="98">
        <v>0</v>
      </c>
      <c r="J20" s="98">
        <v>4100</v>
      </c>
    </row>
    <row r="21" spans="2:10" x14ac:dyDescent="0.3">
      <c r="B21" s="96" t="s">
        <v>95</v>
      </c>
      <c r="C21" s="96" t="s">
        <v>96</v>
      </c>
      <c r="D21" s="98">
        <v>0</v>
      </c>
      <c r="F21" s="98">
        <v>0</v>
      </c>
      <c r="G21" s="98">
        <v>4100</v>
      </c>
      <c r="I21" s="98">
        <v>0</v>
      </c>
      <c r="J21" s="98">
        <v>4100</v>
      </c>
    </row>
    <row r="22" spans="2:10" x14ac:dyDescent="0.3">
      <c r="B22" s="96" t="s">
        <v>97</v>
      </c>
      <c r="C22" s="96" t="s">
        <v>98</v>
      </c>
      <c r="D22" s="98">
        <v>150</v>
      </c>
      <c r="F22" s="98">
        <v>150</v>
      </c>
      <c r="G22" s="98">
        <v>4100</v>
      </c>
      <c r="I22" s="98">
        <v>150</v>
      </c>
      <c r="J22" s="98">
        <v>4100</v>
      </c>
    </row>
    <row r="23" spans="2:10" x14ac:dyDescent="0.3">
      <c r="B23" s="96" t="s">
        <v>99</v>
      </c>
      <c r="C23" s="96" t="s">
        <v>100</v>
      </c>
      <c r="D23" s="98">
        <v>0</v>
      </c>
      <c r="F23" s="98">
        <v>0</v>
      </c>
      <c r="G23" s="98">
        <v>4100</v>
      </c>
      <c r="I23" s="98">
        <v>0</v>
      </c>
      <c r="J23" s="98">
        <v>4100</v>
      </c>
    </row>
    <row r="24" spans="2:10" x14ac:dyDescent="0.3">
      <c r="B24" s="96" t="s">
        <v>101</v>
      </c>
      <c r="C24" s="96" t="s">
        <v>102</v>
      </c>
      <c r="D24" s="98">
        <v>0</v>
      </c>
      <c r="F24" s="98">
        <v>0</v>
      </c>
      <c r="G24" s="98">
        <v>4100</v>
      </c>
      <c r="I24" s="98">
        <v>0</v>
      </c>
      <c r="J24" s="98">
        <v>4100</v>
      </c>
    </row>
    <row r="25" spans="2:10" x14ac:dyDescent="0.3">
      <c r="B25" s="96" t="s">
        <v>103</v>
      </c>
      <c r="C25" s="96" t="s">
        <v>104</v>
      </c>
      <c r="D25" s="98">
        <v>0</v>
      </c>
      <c r="F25" s="98">
        <v>0</v>
      </c>
      <c r="G25" s="98">
        <v>4100</v>
      </c>
      <c r="I25" s="98">
        <v>0</v>
      </c>
      <c r="J25" s="98">
        <v>4100</v>
      </c>
    </row>
    <row r="26" spans="2:10" x14ac:dyDescent="0.3">
      <c r="B26" s="96" t="s">
        <v>105</v>
      </c>
      <c r="C26" s="96" t="s">
        <v>106</v>
      </c>
      <c r="D26" s="98">
        <v>0</v>
      </c>
      <c r="F26" s="98">
        <v>0</v>
      </c>
      <c r="G26" s="98">
        <v>4100</v>
      </c>
      <c r="I26" s="98">
        <v>0</v>
      </c>
      <c r="J26" s="98">
        <v>4100</v>
      </c>
    </row>
    <row r="27" spans="2:10" x14ac:dyDescent="0.3">
      <c r="B27" s="96" t="s">
        <v>107</v>
      </c>
      <c r="C27" s="96" t="s">
        <v>108</v>
      </c>
      <c r="D27" s="98">
        <v>0</v>
      </c>
      <c r="F27" s="98">
        <v>0</v>
      </c>
      <c r="G27" s="98">
        <v>4100</v>
      </c>
      <c r="I27" s="98">
        <v>0</v>
      </c>
      <c r="J27" s="98">
        <v>4100</v>
      </c>
    </row>
    <row r="28" spans="2:10" x14ac:dyDescent="0.3">
      <c r="B28" s="96" t="s">
        <v>109</v>
      </c>
      <c r="C28" s="96" t="s">
        <v>110</v>
      </c>
      <c r="D28" s="98">
        <v>150</v>
      </c>
      <c r="F28" s="98">
        <v>150</v>
      </c>
      <c r="G28" s="98">
        <v>4100</v>
      </c>
      <c r="I28" s="98">
        <v>150</v>
      </c>
      <c r="J28" s="98">
        <v>4100</v>
      </c>
    </row>
    <row r="29" spans="2:10" x14ac:dyDescent="0.3">
      <c r="B29" s="96" t="s">
        <v>111</v>
      </c>
      <c r="C29" s="96" t="s">
        <v>112</v>
      </c>
      <c r="D29" s="98">
        <v>0</v>
      </c>
      <c r="F29" s="98">
        <v>0</v>
      </c>
      <c r="G29" s="98">
        <v>4100</v>
      </c>
      <c r="I29" s="98">
        <v>0</v>
      </c>
      <c r="J29" s="98">
        <v>4100</v>
      </c>
    </row>
    <row r="30" spans="2:10" x14ac:dyDescent="0.3">
      <c r="B30" s="96" t="s">
        <v>113</v>
      </c>
      <c r="C30" s="96" t="s">
        <v>114</v>
      </c>
      <c r="D30" s="98">
        <v>0</v>
      </c>
      <c r="F30" s="98">
        <v>0</v>
      </c>
      <c r="G30" s="98">
        <v>4100</v>
      </c>
      <c r="I30" s="98">
        <v>0</v>
      </c>
      <c r="J30" s="98">
        <v>4100</v>
      </c>
    </row>
    <row r="31" spans="2:10" x14ac:dyDescent="0.3">
      <c r="B31" s="96" t="s">
        <v>115</v>
      </c>
      <c r="C31" s="96" t="s">
        <v>116</v>
      </c>
      <c r="D31" s="98">
        <v>100</v>
      </c>
      <c r="F31" s="98">
        <v>100</v>
      </c>
      <c r="G31" s="98">
        <v>4100</v>
      </c>
      <c r="I31" s="98">
        <v>100</v>
      </c>
      <c r="J31" s="98">
        <v>4100</v>
      </c>
    </row>
    <row r="32" spans="2:10" ht="15" thickBot="1" x14ac:dyDescent="0.35">
      <c r="B32" s="94" t="s">
        <v>117</v>
      </c>
      <c r="C32" s="94" t="s">
        <v>118</v>
      </c>
      <c r="D32" s="97">
        <v>0</v>
      </c>
      <c r="F32" s="97">
        <v>0</v>
      </c>
      <c r="G32" s="97">
        <v>4100</v>
      </c>
      <c r="I32" s="97">
        <v>0</v>
      </c>
      <c r="J32" s="97">
        <v>4100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T98"/>
  <sheetViews>
    <sheetView tabSelected="1" zoomScale="85" zoomScaleNormal="85" workbookViewId="0">
      <selection activeCell="P90" sqref="P90"/>
    </sheetView>
  </sheetViews>
  <sheetFormatPr defaultRowHeight="14.4" x14ac:dyDescent="0.3"/>
  <cols>
    <col min="9" max="9" width="14.88671875" customWidth="1"/>
    <col min="16" max="16" width="11" bestFit="1" customWidth="1"/>
    <col min="20" max="20" width="14.77734375" customWidth="1"/>
    <col min="28" max="28" width="14.5546875" customWidth="1"/>
  </cols>
  <sheetData>
    <row r="2" spans="3:19" x14ac:dyDescent="0.3">
      <c r="C2" s="136" t="s">
        <v>0</v>
      </c>
      <c r="D2" s="137"/>
      <c r="E2" s="138"/>
    </row>
    <row r="3" spans="3:19" x14ac:dyDescent="0.3">
      <c r="C3" s="139">
        <v>351004</v>
      </c>
      <c r="D3" s="140"/>
      <c r="E3" s="141"/>
    </row>
    <row r="4" spans="3:19" x14ac:dyDescent="0.3">
      <c r="C4" s="142" t="s">
        <v>1</v>
      </c>
      <c r="D4" s="143"/>
      <c r="E4" s="144"/>
    </row>
    <row r="8" spans="3:19" x14ac:dyDescent="0.3">
      <c r="C8" s="132" t="s">
        <v>2</v>
      </c>
      <c r="D8" s="132"/>
      <c r="E8" s="132"/>
      <c r="F8" s="132"/>
      <c r="G8" s="132"/>
      <c r="H8" s="132"/>
      <c r="M8" s="132" t="s">
        <v>197</v>
      </c>
      <c r="N8" s="132"/>
      <c r="O8" s="132"/>
      <c r="P8" s="132"/>
      <c r="Q8" s="132"/>
      <c r="R8" s="132"/>
      <c r="S8" s="132"/>
    </row>
    <row r="9" spans="3:19" ht="15" thickBot="1" x14ac:dyDescent="0.35"/>
    <row r="10" spans="3:19" ht="15" customHeight="1" thickBot="1" x14ac:dyDescent="0.35">
      <c r="C10" s="133" t="s">
        <v>4</v>
      </c>
      <c r="D10" s="134"/>
      <c r="E10" s="134"/>
      <c r="F10" s="134"/>
      <c r="G10" s="134"/>
      <c r="H10" s="135"/>
      <c r="M10" s="133" t="s">
        <v>4</v>
      </c>
      <c r="N10" s="134"/>
      <c r="O10" s="134"/>
      <c r="P10" s="134"/>
      <c r="Q10" s="134"/>
      <c r="R10" s="134"/>
      <c r="S10" s="135"/>
    </row>
    <row r="11" spans="3:19" ht="15" thickBot="1" x14ac:dyDescent="0.35">
      <c r="C11" s="1"/>
      <c r="D11" s="1"/>
      <c r="E11" s="1"/>
      <c r="F11" s="1"/>
      <c r="G11" s="1"/>
    </row>
    <row r="12" spans="3:19" ht="15" thickBot="1" x14ac:dyDescent="0.35">
      <c r="C12" s="2" t="s">
        <v>3</v>
      </c>
      <c r="D12" s="3">
        <v>50</v>
      </c>
      <c r="E12" s="4">
        <v>150</v>
      </c>
      <c r="F12" s="4">
        <v>200</v>
      </c>
      <c r="G12" s="5">
        <v>150</v>
      </c>
      <c r="M12" s="2" t="s">
        <v>3</v>
      </c>
      <c r="N12" s="3">
        <v>50</v>
      </c>
      <c r="O12" s="101">
        <v>100</v>
      </c>
      <c r="P12" s="101">
        <v>50</v>
      </c>
      <c r="Q12" s="106">
        <v>100</v>
      </c>
      <c r="R12" s="5">
        <v>150</v>
      </c>
    </row>
    <row r="13" spans="3:19" x14ac:dyDescent="0.3">
      <c r="C13" s="6">
        <v>50</v>
      </c>
      <c r="D13" s="7">
        <v>4</v>
      </c>
      <c r="E13" s="8">
        <v>5</v>
      </c>
      <c r="F13" s="8">
        <v>6</v>
      </c>
      <c r="G13" s="9">
        <v>10</v>
      </c>
      <c r="M13" s="6">
        <v>50</v>
      </c>
      <c r="N13" s="7">
        <v>4</v>
      </c>
      <c r="O13" s="102">
        <v>5</v>
      </c>
      <c r="P13" s="102">
        <v>5</v>
      </c>
      <c r="Q13" s="108">
        <v>6</v>
      </c>
      <c r="R13" s="9">
        <v>10</v>
      </c>
    </row>
    <row r="14" spans="3:19" x14ac:dyDescent="0.3">
      <c r="C14" s="10">
        <v>100</v>
      </c>
      <c r="D14" s="11">
        <v>6</v>
      </c>
      <c r="E14" s="12">
        <v>3</v>
      </c>
      <c r="F14" s="12">
        <v>8</v>
      </c>
      <c r="G14" s="13">
        <v>4</v>
      </c>
      <c r="M14" s="10">
        <v>100</v>
      </c>
      <c r="N14" s="11">
        <v>6</v>
      </c>
      <c r="O14" s="103">
        <v>3</v>
      </c>
      <c r="P14" s="103">
        <v>3</v>
      </c>
      <c r="Q14" s="109">
        <v>8</v>
      </c>
      <c r="R14" s="13">
        <v>4</v>
      </c>
    </row>
    <row r="15" spans="3:19" x14ac:dyDescent="0.3">
      <c r="C15" s="10">
        <v>150</v>
      </c>
      <c r="D15" s="11">
        <v>5</v>
      </c>
      <c r="E15" s="12">
        <v>1</v>
      </c>
      <c r="F15" s="12">
        <v>3</v>
      </c>
      <c r="G15" s="13">
        <v>1</v>
      </c>
      <c r="M15" s="10">
        <v>150</v>
      </c>
      <c r="N15" s="11">
        <v>5</v>
      </c>
      <c r="O15" s="103">
        <v>1</v>
      </c>
      <c r="P15" s="103" t="s">
        <v>198</v>
      </c>
      <c r="Q15" s="109">
        <v>3</v>
      </c>
      <c r="R15" s="13">
        <v>1</v>
      </c>
    </row>
    <row r="16" spans="3:19" x14ac:dyDescent="0.3">
      <c r="C16" s="14">
        <v>150</v>
      </c>
      <c r="D16" s="15">
        <v>7</v>
      </c>
      <c r="E16" s="16">
        <v>2</v>
      </c>
      <c r="F16" s="16">
        <v>4</v>
      </c>
      <c r="G16" s="17">
        <v>2</v>
      </c>
      <c r="M16" s="107">
        <v>50</v>
      </c>
      <c r="N16" s="111">
        <v>7</v>
      </c>
      <c r="O16" s="104">
        <v>2</v>
      </c>
      <c r="P16" s="104">
        <v>2</v>
      </c>
      <c r="Q16" s="110">
        <v>4</v>
      </c>
      <c r="R16" s="17">
        <v>2</v>
      </c>
    </row>
    <row r="17" spans="3:19" ht="15" thickBot="1" x14ac:dyDescent="0.35">
      <c r="C17" s="18">
        <v>100</v>
      </c>
      <c r="D17" s="19">
        <v>0</v>
      </c>
      <c r="E17" s="20">
        <v>0</v>
      </c>
      <c r="F17" s="20">
        <v>0</v>
      </c>
      <c r="G17" s="21">
        <v>0</v>
      </c>
      <c r="M17" s="18">
        <v>100</v>
      </c>
      <c r="N17" s="19">
        <v>0</v>
      </c>
      <c r="O17" s="105">
        <v>0</v>
      </c>
      <c r="P17" s="105">
        <v>0</v>
      </c>
      <c r="Q17" s="20">
        <v>0</v>
      </c>
      <c r="R17" s="21">
        <v>0</v>
      </c>
    </row>
    <row r="18" spans="3:19" ht="15" thickBot="1" x14ac:dyDescent="0.35">
      <c r="C18" s="1"/>
      <c r="D18" s="1"/>
      <c r="E18" s="1"/>
      <c r="F18" s="1"/>
      <c r="G18" s="1"/>
    </row>
    <row r="19" spans="3:19" ht="15" thickBot="1" x14ac:dyDescent="0.35">
      <c r="C19" s="2" t="s">
        <v>3</v>
      </c>
      <c r="D19" s="3">
        <v>50</v>
      </c>
      <c r="E19" s="4">
        <v>150</v>
      </c>
      <c r="F19" s="4">
        <v>200</v>
      </c>
      <c r="G19" s="5">
        <v>150</v>
      </c>
      <c r="M19" s="112" t="s">
        <v>3</v>
      </c>
      <c r="N19" s="113">
        <v>50</v>
      </c>
      <c r="O19" s="114">
        <v>100</v>
      </c>
      <c r="P19" s="114">
        <v>50</v>
      </c>
      <c r="Q19" s="114">
        <v>100</v>
      </c>
      <c r="R19" s="115">
        <v>150</v>
      </c>
    </row>
    <row r="20" spans="3:19" ht="29.4" customHeight="1" x14ac:dyDescent="0.3">
      <c r="C20" s="6">
        <v>50</v>
      </c>
      <c r="D20" s="57" t="s">
        <v>18</v>
      </c>
      <c r="E20" s="35">
        <v>5</v>
      </c>
      <c r="F20" s="43" t="s">
        <v>19</v>
      </c>
      <c r="G20" s="26">
        <v>10</v>
      </c>
      <c r="M20" s="116">
        <v>50</v>
      </c>
      <c r="N20" s="57" t="s">
        <v>15</v>
      </c>
      <c r="O20" s="43" t="s">
        <v>204</v>
      </c>
      <c r="P20" s="35">
        <v>5</v>
      </c>
      <c r="Q20" s="43" t="s">
        <v>205</v>
      </c>
      <c r="R20" s="26">
        <v>10</v>
      </c>
    </row>
    <row r="21" spans="3:19" ht="29.4" customHeight="1" x14ac:dyDescent="0.3">
      <c r="C21" s="10">
        <v>100</v>
      </c>
      <c r="D21" s="31">
        <v>6</v>
      </c>
      <c r="E21" s="32">
        <v>3</v>
      </c>
      <c r="F21" s="42" t="s">
        <v>16</v>
      </c>
      <c r="G21" s="27">
        <v>4</v>
      </c>
      <c r="M21" s="117">
        <v>100</v>
      </c>
      <c r="N21" s="31">
        <v>6</v>
      </c>
      <c r="O21" s="42" t="s">
        <v>203</v>
      </c>
      <c r="P21" s="42" t="s">
        <v>202</v>
      </c>
      <c r="Q21" s="32">
        <v>8</v>
      </c>
      <c r="R21" s="27">
        <v>4</v>
      </c>
    </row>
    <row r="22" spans="3:19" ht="28.8" customHeight="1" x14ac:dyDescent="0.3">
      <c r="C22" s="10">
        <v>150</v>
      </c>
      <c r="D22" s="31">
        <v>5</v>
      </c>
      <c r="E22" s="42" t="s">
        <v>14</v>
      </c>
      <c r="F22" s="32">
        <v>3</v>
      </c>
      <c r="G22" s="30" t="s">
        <v>5</v>
      </c>
      <c r="M22" s="117">
        <v>150</v>
      </c>
      <c r="N22" s="31">
        <v>5</v>
      </c>
      <c r="O22" s="42" t="s">
        <v>200</v>
      </c>
      <c r="P22" s="32" t="s">
        <v>198</v>
      </c>
      <c r="Q22" s="32">
        <v>3</v>
      </c>
      <c r="R22" s="30" t="s">
        <v>199</v>
      </c>
    </row>
    <row r="23" spans="3:19" ht="30" customHeight="1" x14ac:dyDescent="0.3">
      <c r="C23" s="14">
        <v>150</v>
      </c>
      <c r="D23" s="33">
        <v>7</v>
      </c>
      <c r="E23" s="45" t="s">
        <v>6</v>
      </c>
      <c r="F23" s="45" t="s">
        <v>17</v>
      </c>
      <c r="G23" s="28">
        <v>2</v>
      </c>
      <c r="M23" s="118">
        <v>50</v>
      </c>
      <c r="N23" s="33">
        <v>7</v>
      </c>
      <c r="O23" s="45" t="s">
        <v>201</v>
      </c>
      <c r="P23" s="34">
        <v>2</v>
      </c>
      <c r="Q23" s="34">
        <v>4</v>
      </c>
      <c r="R23" s="28">
        <v>2</v>
      </c>
    </row>
    <row r="24" spans="3:19" ht="30" customHeight="1" thickBot="1" x14ac:dyDescent="0.35">
      <c r="C24" s="18">
        <v>100</v>
      </c>
      <c r="D24" s="37">
        <v>0</v>
      </c>
      <c r="E24" s="36">
        <v>0</v>
      </c>
      <c r="F24" s="44" t="s">
        <v>20</v>
      </c>
      <c r="G24" s="29">
        <v>0</v>
      </c>
      <c r="M24" s="119">
        <v>100</v>
      </c>
      <c r="N24" s="37">
        <v>0</v>
      </c>
      <c r="O24" s="36">
        <v>0</v>
      </c>
      <c r="P24" s="36">
        <v>0</v>
      </c>
      <c r="Q24" s="44" t="s">
        <v>206</v>
      </c>
      <c r="R24" s="29">
        <v>0</v>
      </c>
    </row>
    <row r="25" spans="3:19" ht="15" thickBot="1" x14ac:dyDescent="0.35"/>
    <row r="26" spans="3:19" ht="15" thickBot="1" x14ac:dyDescent="0.35">
      <c r="C26" s="123" t="s">
        <v>7</v>
      </c>
      <c r="D26" s="124"/>
      <c r="E26" s="124"/>
      <c r="F26" s="124"/>
      <c r="G26" s="124"/>
      <c r="H26" s="125"/>
      <c r="M26" s="123" t="s">
        <v>7</v>
      </c>
      <c r="N26" s="124"/>
      <c r="O26" s="124"/>
      <c r="P26" s="124"/>
      <c r="Q26" s="124"/>
      <c r="R26" s="125"/>
    </row>
    <row r="28" spans="3:19" x14ac:dyDescent="0.3">
      <c r="C28" s="126" t="s">
        <v>207</v>
      </c>
      <c r="D28" s="127"/>
      <c r="E28" s="127"/>
      <c r="F28" s="127"/>
      <c r="G28" s="127"/>
      <c r="H28" s="128"/>
      <c r="I28" s="63"/>
      <c r="M28" s="126" t="s">
        <v>207</v>
      </c>
      <c r="N28" s="127"/>
      <c r="O28" s="127"/>
      <c r="P28" s="127"/>
      <c r="Q28" s="127"/>
      <c r="R28" s="128"/>
    </row>
    <row r="29" spans="3:19" ht="15" thickBot="1" x14ac:dyDescent="0.35">
      <c r="I29" s="63"/>
    </row>
    <row r="30" spans="3:19" ht="15" thickBot="1" x14ac:dyDescent="0.35">
      <c r="C30" s="2" t="s">
        <v>3</v>
      </c>
      <c r="D30" s="3">
        <v>50</v>
      </c>
      <c r="E30" s="4">
        <v>150</v>
      </c>
      <c r="F30" s="4">
        <v>200</v>
      </c>
      <c r="G30" s="5">
        <v>150</v>
      </c>
      <c r="I30" s="63"/>
      <c r="M30" s="112" t="s">
        <v>3</v>
      </c>
      <c r="N30" s="113">
        <v>50</v>
      </c>
      <c r="O30" s="114">
        <v>100</v>
      </c>
      <c r="P30" s="114">
        <v>50</v>
      </c>
      <c r="Q30" s="114">
        <v>100</v>
      </c>
      <c r="R30" s="115">
        <v>150</v>
      </c>
    </row>
    <row r="31" spans="3:19" ht="28.8" x14ac:dyDescent="0.3">
      <c r="C31" s="6">
        <v>50</v>
      </c>
      <c r="D31" s="57" t="s">
        <v>18</v>
      </c>
      <c r="E31" s="35">
        <v>5</v>
      </c>
      <c r="F31" s="43" t="s">
        <v>19</v>
      </c>
      <c r="G31" s="26">
        <v>10</v>
      </c>
      <c r="H31" s="39" t="s">
        <v>12</v>
      </c>
      <c r="I31" s="63"/>
      <c r="M31" s="116">
        <v>50</v>
      </c>
      <c r="N31" s="57" t="s">
        <v>15</v>
      </c>
      <c r="O31" s="43" t="s">
        <v>204</v>
      </c>
      <c r="P31" s="35">
        <v>5</v>
      </c>
      <c r="Q31" s="43" t="s">
        <v>205</v>
      </c>
      <c r="R31" s="26">
        <v>10</v>
      </c>
      <c r="S31" s="39" t="s">
        <v>208</v>
      </c>
    </row>
    <row r="32" spans="3:19" ht="28.8" x14ac:dyDescent="0.3">
      <c r="C32" s="10">
        <v>100</v>
      </c>
      <c r="D32" s="31">
        <v>6</v>
      </c>
      <c r="E32" s="32">
        <v>3</v>
      </c>
      <c r="F32" s="42" t="s">
        <v>16</v>
      </c>
      <c r="G32" s="27">
        <v>4</v>
      </c>
      <c r="H32" s="10" t="s">
        <v>9</v>
      </c>
      <c r="I32" s="63"/>
      <c r="M32" s="117">
        <v>100</v>
      </c>
      <c r="N32" s="31">
        <v>6</v>
      </c>
      <c r="O32" s="42" t="s">
        <v>203</v>
      </c>
      <c r="P32" s="42" t="s">
        <v>202</v>
      </c>
      <c r="Q32" s="32">
        <v>8</v>
      </c>
      <c r="R32" s="27">
        <v>4</v>
      </c>
      <c r="S32" s="10" t="s">
        <v>211</v>
      </c>
    </row>
    <row r="33" spans="3:19" ht="28.8" x14ac:dyDescent="0.3">
      <c r="C33" s="10">
        <v>150</v>
      </c>
      <c r="D33" s="31">
        <v>5</v>
      </c>
      <c r="E33" s="42" t="s">
        <v>14</v>
      </c>
      <c r="F33" s="32">
        <v>3</v>
      </c>
      <c r="G33" s="30" t="s">
        <v>5</v>
      </c>
      <c r="H33" s="10" t="s">
        <v>23</v>
      </c>
      <c r="I33" s="63"/>
      <c r="M33" s="117">
        <v>150</v>
      </c>
      <c r="N33" s="31">
        <v>5</v>
      </c>
      <c r="O33" s="42" t="s">
        <v>200</v>
      </c>
      <c r="P33" s="32" t="s">
        <v>198</v>
      </c>
      <c r="Q33" s="32">
        <v>3</v>
      </c>
      <c r="R33" s="30" t="s">
        <v>199</v>
      </c>
      <c r="S33" s="10" t="s">
        <v>212</v>
      </c>
    </row>
    <row r="34" spans="3:19" ht="28.8" x14ac:dyDescent="0.3">
      <c r="C34" s="14">
        <v>150</v>
      </c>
      <c r="D34" s="33">
        <v>7</v>
      </c>
      <c r="E34" s="45" t="s">
        <v>6</v>
      </c>
      <c r="F34" s="45" t="s">
        <v>17</v>
      </c>
      <c r="G34" s="28">
        <v>2</v>
      </c>
      <c r="H34" s="10" t="s">
        <v>21</v>
      </c>
      <c r="I34" s="63"/>
      <c r="M34" s="118">
        <v>50</v>
      </c>
      <c r="N34" s="33">
        <v>7</v>
      </c>
      <c r="O34" s="45" t="s">
        <v>201</v>
      </c>
      <c r="P34" s="34">
        <v>2</v>
      </c>
      <c r="Q34" s="34">
        <v>4</v>
      </c>
      <c r="R34" s="28">
        <v>2</v>
      </c>
      <c r="S34" s="10" t="s">
        <v>213</v>
      </c>
    </row>
    <row r="35" spans="3:19" ht="29.4" thickBot="1" x14ac:dyDescent="0.35">
      <c r="C35" s="14">
        <v>100</v>
      </c>
      <c r="D35" s="37">
        <v>0</v>
      </c>
      <c r="E35" s="36">
        <v>0</v>
      </c>
      <c r="F35" s="44" t="s">
        <v>20</v>
      </c>
      <c r="G35" s="29">
        <v>0</v>
      </c>
      <c r="H35" s="18" t="s">
        <v>13</v>
      </c>
      <c r="I35" s="63"/>
      <c r="M35" s="118">
        <v>100</v>
      </c>
      <c r="N35" s="33">
        <v>0</v>
      </c>
      <c r="O35" s="34">
        <v>0</v>
      </c>
      <c r="P35" s="34">
        <v>0</v>
      </c>
      <c r="Q35" s="45" t="s">
        <v>206</v>
      </c>
      <c r="R35" s="28">
        <v>0</v>
      </c>
      <c r="S35" s="18" t="s">
        <v>214</v>
      </c>
    </row>
    <row r="36" spans="3:19" ht="27.6" customHeight="1" thickBot="1" x14ac:dyDescent="0.35">
      <c r="C36" s="41"/>
      <c r="D36" s="4" t="s">
        <v>10</v>
      </c>
      <c r="E36" s="4" t="s">
        <v>22</v>
      </c>
      <c r="F36" s="4" t="s">
        <v>11</v>
      </c>
      <c r="G36" s="5" t="s">
        <v>24</v>
      </c>
      <c r="H36" s="40" t="s">
        <v>8</v>
      </c>
      <c r="I36" s="63"/>
      <c r="M36" s="41"/>
      <c r="N36" s="4" t="s">
        <v>209</v>
      </c>
      <c r="O36" s="4" t="s">
        <v>210</v>
      </c>
      <c r="P36" s="4" t="s">
        <v>31</v>
      </c>
      <c r="Q36" s="4" t="s">
        <v>24</v>
      </c>
      <c r="R36" s="5" t="s">
        <v>215</v>
      </c>
      <c r="S36" s="40" t="s">
        <v>8</v>
      </c>
    </row>
    <row r="37" spans="3:19" ht="15" thickBot="1" x14ac:dyDescent="0.35"/>
    <row r="38" spans="3:19" ht="15" thickBot="1" x14ac:dyDescent="0.35">
      <c r="C38" s="2" t="s">
        <v>3</v>
      </c>
      <c r="D38" s="3">
        <v>50</v>
      </c>
      <c r="E38" s="4">
        <v>150</v>
      </c>
      <c r="F38" s="4">
        <v>200</v>
      </c>
      <c r="G38" s="5">
        <v>150</v>
      </c>
      <c r="M38" s="112" t="s">
        <v>3</v>
      </c>
      <c r="N38" s="113">
        <v>50</v>
      </c>
      <c r="O38" s="114">
        <v>100</v>
      </c>
      <c r="P38" s="114">
        <v>50</v>
      </c>
      <c r="Q38" s="114">
        <v>100</v>
      </c>
      <c r="R38" s="115">
        <v>150</v>
      </c>
    </row>
    <row r="39" spans="3:19" ht="28.8" x14ac:dyDescent="0.3">
      <c r="C39" s="6">
        <v>50</v>
      </c>
      <c r="D39" s="57" t="s">
        <v>18</v>
      </c>
      <c r="E39" s="46">
        <v>1</v>
      </c>
      <c r="F39" s="43" t="s">
        <v>19</v>
      </c>
      <c r="G39" s="55">
        <v>6</v>
      </c>
      <c r="H39" s="39" t="s">
        <v>12</v>
      </c>
      <c r="M39" s="116">
        <v>50</v>
      </c>
      <c r="N39" s="57" t="s">
        <v>15</v>
      </c>
      <c r="O39" s="43" t="s">
        <v>204</v>
      </c>
      <c r="P39" s="46">
        <v>0</v>
      </c>
      <c r="Q39" s="43" t="s">
        <v>205</v>
      </c>
      <c r="R39" s="55">
        <v>5</v>
      </c>
      <c r="S39" s="39" t="s">
        <v>208</v>
      </c>
    </row>
    <row r="40" spans="3:19" ht="28.8" x14ac:dyDescent="0.3">
      <c r="C40" s="10">
        <v>100</v>
      </c>
      <c r="D40" s="48">
        <v>0</v>
      </c>
      <c r="E40" s="56">
        <v>-3</v>
      </c>
      <c r="F40" s="42" t="s">
        <v>16</v>
      </c>
      <c r="G40" s="54">
        <v>-2</v>
      </c>
      <c r="H40" s="10" t="s">
        <v>9</v>
      </c>
      <c r="M40" s="117">
        <v>100</v>
      </c>
      <c r="N40" s="48">
        <v>4</v>
      </c>
      <c r="O40" s="42" t="s">
        <v>203</v>
      </c>
      <c r="P40" s="42" t="s">
        <v>202</v>
      </c>
      <c r="Q40" s="47">
        <v>4</v>
      </c>
      <c r="R40" s="54">
        <v>1</v>
      </c>
      <c r="S40" s="10" t="s">
        <v>211</v>
      </c>
    </row>
    <row r="41" spans="3:19" ht="28.8" x14ac:dyDescent="0.3">
      <c r="C41" s="10">
        <v>150</v>
      </c>
      <c r="D41" s="48">
        <v>4</v>
      </c>
      <c r="E41" s="42" t="s">
        <v>14</v>
      </c>
      <c r="F41" s="47">
        <v>0</v>
      </c>
      <c r="G41" s="30" t="s">
        <v>5</v>
      </c>
      <c r="H41" s="10" t="s">
        <v>23</v>
      </c>
      <c r="M41" s="117">
        <v>150</v>
      </c>
      <c r="N41" s="48">
        <v>5</v>
      </c>
      <c r="O41" s="42" t="s">
        <v>200</v>
      </c>
      <c r="P41" s="47" t="s">
        <v>198</v>
      </c>
      <c r="Q41" s="47">
        <v>1</v>
      </c>
      <c r="R41" s="30" t="s">
        <v>199</v>
      </c>
      <c r="S41" s="10" t="s">
        <v>212</v>
      </c>
    </row>
    <row r="42" spans="3:19" ht="28.8" x14ac:dyDescent="0.3">
      <c r="C42" s="14">
        <v>150</v>
      </c>
      <c r="D42" s="49">
        <v>5</v>
      </c>
      <c r="E42" s="45" t="s">
        <v>6</v>
      </c>
      <c r="F42" s="45" t="s">
        <v>17</v>
      </c>
      <c r="G42" s="53">
        <v>0</v>
      </c>
      <c r="H42" s="10" t="s">
        <v>21</v>
      </c>
      <c r="M42" s="118">
        <v>50</v>
      </c>
      <c r="N42" s="49">
        <v>6</v>
      </c>
      <c r="O42" s="45" t="s">
        <v>201</v>
      </c>
      <c r="P42" s="52">
        <v>0</v>
      </c>
      <c r="Q42" s="52">
        <v>1</v>
      </c>
      <c r="R42" s="53">
        <v>0</v>
      </c>
      <c r="S42" s="10" t="s">
        <v>213</v>
      </c>
    </row>
    <row r="43" spans="3:19" ht="29.4" thickBot="1" x14ac:dyDescent="0.35">
      <c r="C43" s="14">
        <v>100</v>
      </c>
      <c r="D43" s="50">
        <v>2</v>
      </c>
      <c r="E43" s="51">
        <v>2</v>
      </c>
      <c r="F43" s="44" t="s">
        <v>20</v>
      </c>
      <c r="G43" s="58">
        <v>2</v>
      </c>
      <c r="H43" s="18" t="s">
        <v>13</v>
      </c>
      <c r="M43" s="118">
        <v>100</v>
      </c>
      <c r="N43" s="49">
        <v>2</v>
      </c>
      <c r="O43" s="52">
        <v>1</v>
      </c>
      <c r="P43" s="52">
        <v>1</v>
      </c>
      <c r="Q43" s="45" t="s">
        <v>206</v>
      </c>
      <c r="R43" s="53">
        <v>1</v>
      </c>
      <c r="S43" s="18" t="s">
        <v>214</v>
      </c>
    </row>
    <row r="44" spans="3:19" ht="29.4" thickBot="1" x14ac:dyDescent="0.35">
      <c r="C44" s="41"/>
      <c r="D44" s="4" t="s">
        <v>10</v>
      </c>
      <c r="E44" s="4" t="s">
        <v>22</v>
      </c>
      <c r="F44" s="4" t="s">
        <v>11</v>
      </c>
      <c r="G44" s="5" t="s">
        <v>24</v>
      </c>
      <c r="H44" s="40" t="s">
        <v>8</v>
      </c>
      <c r="M44" s="41"/>
      <c r="N44" s="4" t="s">
        <v>209</v>
      </c>
      <c r="O44" s="4" t="s">
        <v>210</v>
      </c>
      <c r="P44" s="4" t="s">
        <v>31</v>
      </c>
      <c r="Q44" s="4" t="s">
        <v>24</v>
      </c>
      <c r="R44" s="5" t="s">
        <v>216</v>
      </c>
      <c r="S44" s="40" t="s">
        <v>8</v>
      </c>
    </row>
    <row r="45" spans="3:19" ht="15" thickBot="1" x14ac:dyDescent="0.35"/>
    <row r="46" spans="3:19" ht="15" thickBot="1" x14ac:dyDescent="0.35">
      <c r="C46" s="2" t="s">
        <v>3</v>
      </c>
      <c r="D46" s="3">
        <v>50</v>
      </c>
      <c r="E46" s="4">
        <v>150</v>
      </c>
      <c r="F46" s="4">
        <v>200</v>
      </c>
      <c r="G46" s="5">
        <v>150</v>
      </c>
      <c r="H46" s="60"/>
      <c r="M46" s="112" t="s">
        <v>3</v>
      </c>
      <c r="N46" s="113">
        <v>50</v>
      </c>
      <c r="O46" s="114">
        <v>100</v>
      </c>
      <c r="P46" s="114">
        <v>50</v>
      </c>
      <c r="Q46" s="114">
        <v>100</v>
      </c>
      <c r="R46" s="115">
        <v>150</v>
      </c>
    </row>
    <row r="47" spans="3:19" ht="28.8" x14ac:dyDescent="0.3">
      <c r="C47" s="6">
        <v>50</v>
      </c>
      <c r="D47" s="57" t="s">
        <v>18</v>
      </c>
      <c r="E47" s="35">
        <v>5</v>
      </c>
      <c r="F47" s="43" t="s">
        <v>19</v>
      </c>
      <c r="G47" s="26">
        <v>10</v>
      </c>
      <c r="H47" s="62"/>
      <c r="M47" s="116">
        <v>50</v>
      </c>
      <c r="N47" s="57" t="s">
        <v>15</v>
      </c>
      <c r="O47" s="35">
        <v>5</v>
      </c>
      <c r="P47" s="35">
        <v>5</v>
      </c>
      <c r="Q47" s="35">
        <v>6</v>
      </c>
      <c r="R47" s="26">
        <v>10</v>
      </c>
    </row>
    <row r="48" spans="3:19" ht="28.8" x14ac:dyDescent="0.3">
      <c r="C48" s="10">
        <v>100</v>
      </c>
      <c r="D48" s="31">
        <v>6</v>
      </c>
      <c r="E48" s="42" t="s">
        <v>25</v>
      </c>
      <c r="F48" s="32">
        <v>8</v>
      </c>
      <c r="G48" s="27">
        <v>4</v>
      </c>
      <c r="H48" s="62"/>
      <c r="M48" s="117">
        <v>100</v>
      </c>
      <c r="N48" s="31">
        <v>6</v>
      </c>
      <c r="O48" s="42" t="s">
        <v>203</v>
      </c>
      <c r="P48" s="42" t="s">
        <v>202</v>
      </c>
      <c r="Q48" s="32">
        <v>8</v>
      </c>
      <c r="R48" s="27">
        <v>4</v>
      </c>
    </row>
    <row r="49" spans="3:18" ht="28.8" x14ac:dyDescent="0.3">
      <c r="C49" s="10">
        <v>150</v>
      </c>
      <c r="D49" s="31">
        <v>5</v>
      </c>
      <c r="E49" s="42" t="s">
        <v>14</v>
      </c>
      <c r="F49" s="32">
        <v>3</v>
      </c>
      <c r="G49" s="30" t="s">
        <v>5</v>
      </c>
      <c r="H49" s="62"/>
      <c r="M49" s="117">
        <v>150</v>
      </c>
      <c r="N49" s="31">
        <v>5</v>
      </c>
      <c r="O49" s="32">
        <v>1</v>
      </c>
      <c r="P49" s="32" t="s">
        <v>198</v>
      </c>
      <c r="Q49" s="32">
        <v>3</v>
      </c>
      <c r="R49" s="30" t="s">
        <v>199</v>
      </c>
    </row>
    <row r="50" spans="3:18" ht="28.8" x14ac:dyDescent="0.3">
      <c r="C50" s="14">
        <v>150</v>
      </c>
      <c r="D50" s="33">
        <v>7</v>
      </c>
      <c r="E50" s="45" t="s">
        <v>27</v>
      </c>
      <c r="F50" s="45" t="s">
        <v>26</v>
      </c>
      <c r="G50" s="28">
        <v>2</v>
      </c>
      <c r="H50" s="62"/>
      <c r="M50" s="118">
        <v>50</v>
      </c>
      <c r="N50" s="33">
        <v>7</v>
      </c>
      <c r="O50" s="45" t="s">
        <v>201</v>
      </c>
      <c r="P50" s="34">
        <v>2</v>
      </c>
      <c r="Q50" s="34">
        <v>4</v>
      </c>
      <c r="R50" s="28">
        <v>2</v>
      </c>
    </row>
    <row r="51" spans="3:18" ht="29.4" thickBot="1" x14ac:dyDescent="0.35">
      <c r="C51" s="18">
        <v>100</v>
      </c>
      <c r="D51" s="37">
        <v>0</v>
      </c>
      <c r="E51" s="36">
        <v>0</v>
      </c>
      <c r="F51" s="44" t="s">
        <v>20</v>
      </c>
      <c r="G51" s="29">
        <v>0</v>
      </c>
      <c r="H51" s="62"/>
      <c r="M51" s="119">
        <v>100</v>
      </c>
      <c r="N51" s="37">
        <v>0</v>
      </c>
      <c r="O51" s="36">
        <v>0</v>
      </c>
      <c r="P51" s="36">
        <v>0</v>
      </c>
      <c r="Q51" s="44" t="s">
        <v>206</v>
      </c>
      <c r="R51" s="29">
        <v>0</v>
      </c>
    </row>
    <row r="52" spans="3:18" ht="15" thickBot="1" x14ac:dyDescent="0.35">
      <c r="C52" s="59"/>
      <c r="D52" s="59"/>
      <c r="E52" s="59"/>
      <c r="F52" s="59"/>
      <c r="G52" s="59"/>
      <c r="H52" s="61"/>
    </row>
    <row r="53" spans="3:18" ht="15" thickBot="1" x14ac:dyDescent="0.35">
      <c r="C53" s="2" t="s">
        <v>3</v>
      </c>
      <c r="D53" s="3">
        <v>50</v>
      </c>
      <c r="E53" s="4">
        <v>150</v>
      </c>
      <c r="F53" s="4">
        <v>200</v>
      </c>
      <c r="G53" s="5">
        <v>150</v>
      </c>
    </row>
    <row r="54" spans="3:18" ht="28.8" x14ac:dyDescent="0.3">
      <c r="C54" s="6">
        <v>50</v>
      </c>
      <c r="D54" s="57" t="s">
        <v>18</v>
      </c>
      <c r="E54" s="35">
        <v>5</v>
      </c>
      <c r="F54" s="43" t="s">
        <v>19</v>
      </c>
      <c r="G54" s="26">
        <v>10</v>
      </c>
      <c r="H54" s="39" t="s">
        <v>33</v>
      </c>
    </row>
    <row r="55" spans="3:18" ht="28.8" x14ac:dyDescent="0.3">
      <c r="C55" s="10">
        <v>100</v>
      </c>
      <c r="D55" s="31">
        <v>6</v>
      </c>
      <c r="E55" s="42" t="s">
        <v>25</v>
      </c>
      <c r="F55" s="32">
        <v>8</v>
      </c>
      <c r="G55" s="27">
        <v>4</v>
      </c>
      <c r="H55" s="10" t="s">
        <v>9</v>
      </c>
    </row>
    <row r="56" spans="3:18" ht="28.8" x14ac:dyDescent="0.3">
      <c r="C56" s="10">
        <v>150</v>
      </c>
      <c r="D56" s="31">
        <v>5</v>
      </c>
      <c r="E56" s="42" t="s">
        <v>14</v>
      </c>
      <c r="F56" s="32">
        <v>3</v>
      </c>
      <c r="G56" s="30" t="s">
        <v>5</v>
      </c>
      <c r="H56" s="10" t="s">
        <v>29</v>
      </c>
    </row>
    <row r="57" spans="3:18" ht="28.8" x14ac:dyDescent="0.3">
      <c r="C57" s="14">
        <v>150</v>
      </c>
      <c r="D57" s="33">
        <v>7</v>
      </c>
      <c r="E57" s="45" t="s">
        <v>27</v>
      </c>
      <c r="F57" s="45" t="s">
        <v>26</v>
      </c>
      <c r="G57" s="28">
        <v>2</v>
      </c>
      <c r="H57" s="10" t="s">
        <v>30</v>
      </c>
    </row>
    <row r="58" spans="3:18" ht="29.4" thickBot="1" x14ac:dyDescent="0.35">
      <c r="C58" s="14">
        <v>100</v>
      </c>
      <c r="D58" s="37">
        <v>0</v>
      </c>
      <c r="E58" s="36">
        <v>0</v>
      </c>
      <c r="F58" s="44" t="s">
        <v>20</v>
      </c>
      <c r="G58" s="29">
        <v>0</v>
      </c>
      <c r="H58" s="18" t="s">
        <v>32</v>
      </c>
    </row>
    <row r="59" spans="3:18" ht="29.4" thickBot="1" x14ac:dyDescent="0.35">
      <c r="C59" s="41"/>
      <c r="D59" s="4" t="s">
        <v>34</v>
      </c>
      <c r="E59" s="4" t="s">
        <v>28</v>
      </c>
      <c r="F59" s="4" t="s">
        <v>31</v>
      </c>
      <c r="G59" s="5" t="s">
        <v>35</v>
      </c>
      <c r="H59" s="40" t="s">
        <v>8</v>
      </c>
    </row>
    <row r="60" spans="3:18" ht="15" thickBot="1" x14ac:dyDescent="0.35"/>
    <row r="61" spans="3:18" ht="15" thickBot="1" x14ac:dyDescent="0.35">
      <c r="C61" s="2" t="s">
        <v>3</v>
      </c>
      <c r="D61" s="3">
        <v>50</v>
      </c>
      <c r="E61" s="4">
        <v>150</v>
      </c>
      <c r="F61" s="4">
        <v>200</v>
      </c>
      <c r="G61" s="5">
        <v>150</v>
      </c>
    </row>
    <row r="62" spans="3:18" ht="28.8" x14ac:dyDescent="0.3">
      <c r="C62" s="6">
        <v>50</v>
      </c>
      <c r="D62" s="57" t="s">
        <v>18</v>
      </c>
      <c r="E62" s="46">
        <v>1</v>
      </c>
      <c r="F62" s="43" t="s">
        <v>19</v>
      </c>
      <c r="G62" s="55">
        <v>6</v>
      </c>
      <c r="H62" s="39" t="s">
        <v>33</v>
      </c>
    </row>
    <row r="63" spans="3:18" ht="28.8" x14ac:dyDescent="0.3">
      <c r="C63" s="10">
        <v>100</v>
      </c>
      <c r="D63" s="48">
        <v>3</v>
      </c>
      <c r="E63" s="42" t="s">
        <v>25</v>
      </c>
      <c r="F63" s="47">
        <v>3</v>
      </c>
      <c r="G63" s="54">
        <v>1</v>
      </c>
      <c r="H63" s="10" t="s">
        <v>9</v>
      </c>
    </row>
    <row r="64" spans="3:18" ht="28.8" x14ac:dyDescent="0.3">
      <c r="C64" s="10">
        <v>150</v>
      </c>
      <c r="D64" s="48">
        <v>4</v>
      </c>
      <c r="E64" s="42" t="s">
        <v>14</v>
      </c>
      <c r="F64" s="47">
        <v>0</v>
      </c>
      <c r="G64" s="30" t="s">
        <v>5</v>
      </c>
      <c r="H64" s="10" t="s">
        <v>29</v>
      </c>
    </row>
    <row r="65" spans="3:19" ht="28.8" x14ac:dyDescent="0.3">
      <c r="C65" s="14">
        <v>150</v>
      </c>
      <c r="D65" s="49">
        <v>5</v>
      </c>
      <c r="E65" s="45" t="s">
        <v>27</v>
      </c>
      <c r="F65" s="45" t="s">
        <v>26</v>
      </c>
      <c r="G65" s="53">
        <v>0</v>
      </c>
      <c r="H65" s="10" t="s">
        <v>30</v>
      </c>
    </row>
    <row r="66" spans="3:19" ht="29.4" thickBot="1" x14ac:dyDescent="0.35">
      <c r="C66" s="14">
        <v>100</v>
      </c>
      <c r="D66" s="50">
        <v>2</v>
      </c>
      <c r="E66" s="51">
        <v>2</v>
      </c>
      <c r="F66" s="44" t="s">
        <v>20</v>
      </c>
      <c r="G66" s="58">
        <v>2</v>
      </c>
      <c r="H66" s="18" t="s">
        <v>32</v>
      </c>
    </row>
    <row r="67" spans="3:19" ht="29.4" thickBot="1" x14ac:dyDescent="0.35">
      <c r="C67" s="41"/>
      <c r="D67" s="4" t="s">
        <v>34</v>
      </c>
      <c r="E67" s="4" t="s">
        <v>28</v>
      </c>
      <c r="F67" s="4" t="s">
        <v>31</v>
      </c>
      <c r="G67" s="5" t="s">
        <v>35</v>
      </c>
      <c r="H67" s="40" t="s">
        <v>8</v>
      </c>
    </row>
    <row r="69" spans="3:19" x14ac:dyDescent="0.3">
      <c r="C69" s="129" t="s">
        <v>36</v>
      </c>
      <c r="D69" s="130"/>
      <c r="E69" s="130"/>
      <c r="F69" s="130"/>
      <c r="G69" s="130"/>
      <c r="H69" s="131"/>
    </row>
    <row r="70" spans="3:19" ht="15" thickBot="1" x14ac:dyDescent="0.35"/>
    <row r="71" spans="3:19" ht="15" thickBot="1" x14ac:dyDescent="0.35">
      <c r="C71" s="2" t="s">
        <v>3</v>
      </c>
      <c r="D71" s="3">
        <v>50</v>
      </c>
      <c r="E71" s="4">
        <v>150</v>
      </c>
      <c r="F71" s="4">
        <v>200</v>
      </c>
      <c r="G71" s="5">
        <v>150</v>
      </c>
    </row>
    <row r="72" spans="3:19" ht="28.8" x14ac:dyDescent="0.3">
      <c r="C72" s="6">
        <v>50</v>
      </c>
      <c r="D72" s="57" t="s">
        <v>18</v>
      </c>
      <c r="E72" s="35">
        <v>5</v>
      </c>
      <c r="F72" s="35">
        <v>6</v>
      </c>
      <c r="G72" s="26">
        <v>10</v>
      </c>
    </row>
    <row r="73" spans="3:19" ht="28.8" x14ac:dyDescent="0.3">
      <c r="C73" s="10">
        <v>100</v>
      </c>
      <c r="D73" s="31">
        <v>6</v>
      </c>
      <c r="E73" s="42" t="s">
        <v>25</v>
      </c>
      <c r="F73" s="32">
        <v>8</v>
      </c>
      <c r="G73" s="27">
        <v>4</v>
      </c>
    </row>
    <row r="74" spans="3:19" ht="28.8" x14ac:dyDescent="0.3">
      <c r="C74" s="10">
        <v>150</v>
      </c>
      <c r="D74" s="31">
        <v>5</v>
      </c>
      <c r="E74" s="32">
        <v>1</v>
      </c>
      <c r="F74" s="32">
        <v>3</v>
      </c>
      <c r="G74" s="30" t="s">
        <v>5</v>
      </c>
    </row>
    <row r="75" spans="3:19" ht="28.8" x14ac:dyDescent="0.3">
      <c r="C75" s="14">
        <v>150</v>
      </c>
      <c r="D75" s="33">
        <v>7</v>
      </c>
      <c r="E75" s="45" t="s">
        <v>27</v>
      </c>
      <c r="F75" s="45" t="s">
        <v>26</v>
      </c>
      <c r="G75" s="28">
        <v>2</v>
      </c>
    </row>
    <row r="76" spans="3:19" ht="29.4" thickBot="1" x14ac:dyDescent="0.35">
      <c r="C76" s="18">
        <v>100</v>
      </c>
      <c r="D76" s="37">
        <v>0</v>
      </c>
      <c r="E76" s="36">
        <v>0</v>
      </c>
      <c r="F76" s="44" t="s">
        <v>20</v>
      </c>
      <c r="G76" s="29">
        <v>0</v>
      </c>
    </row>
    <row r="78" spans="3:19" x14ac:dyDescent="0.3">
      <c r="C78" s="126" t="s">
        <v>50</v>
      </c>
      <c r="D78" s="127"/>
      <c r="E78" s="127"/>
      <c r="F78" s="127"/>
      <c r="G78" s="127"/>
      <c r="H78" s="128"/>
      <c r="M78" s="153"/>
      <c r="N78" s="126" t="s">
        <v>50</v>
      </c>
      <c r="O78" s="127"/>
      <c r="P78" s="127"/>
      <c r="Q78" s="127"/>
      <c r="R78" s="127"/>
      <c r="S78" s="128"/>
    </row>
    <row r="79" spans="3:19" ht="15" thickBot="1" x14ac:dyDescent="0.35">
      <c r="M79" s="152"/>
    </row>
    <row r="80" spans="3:19" ht="15" thickBot="1" x14ac:dyDescent="0.35">
      <c r="C80" s="72" t="s">
        <v>3</v>
      </c>
      <c r="D80" s="65">
        <v>50</v>
      </c>
      <c r="E80" s="66">
        <v>150</v>
      </c>
      <c r="F80" s="66">
        <v>200</v>
      </c>
      <c r="G80" s="67">
        <v>150</v>
      </c>
      <c r="M80" s="62"/>
      <c r="N80" s="72" t="s">
        <v>3</v>
      </c>
      <c r="O80" s="65">
        <v>50</v>
      </c>
      <c r="P80" s="66">
        <v>150</v>
      </c>
      <c r="Q80" s="66">
        <v>100</v>
      </c>
      <c r="R80" s="67">
        <v>150</v>
      </c>
    </row>
    <row r="81" spans="3:20" x14ac:dyDescent="0.3">
      <c r="C81" s="68">
        <v>50</v>
      </c>
      <c r="D81" s="7">
        <v>4</v>
      </c>
      <c r="E81" s="8">
        <v>5</v>
      </c>
      <c r="F81" s="8">
        <v>6</v>
      </c>
      <c r="G81" s="9">
        <v>10</v>
      </c>
      <c r="M81" s="62"/>
      <c r="N81" s="68">
        <v>50</v>
      </c>
      <c r="O81" s="7">
        <v>4</v>
      </c>
      <c r="P81" s="8">
        <v>5</v>
      </c>
      <c r="Q81" s="8">
        <v>6</v>
      </c>
      <c r="R81" s="9">
        <v>10</v>
      </c>
    </row>
    <row r="82" spans="3:20" x14ac:dyDescent="0.3">
      <c r="C82" s="69">
        <v>100</v>
      </c>
      <c r="D82" s="11">
        <v>6</v>
      </c>
      <c r="E82" s="12">
        <v>3</v>
      </c>
      <c r="F82" s="12">
        <v>8</v>
      </c>
      <c r="G82" s="13">
        <v>4</v>
      </c>
      <c r="M82" s="62"/>
      <c r="N82" s="69">
        <v>100</v>
      </c>
      <c r="O82" s="38">
        <v>6</v>
      </c>
      <c r="P82" s="12">
        <v>3</v>
      </c>
      <c r="Q82" s="12">
        <v>8</v>
      </c>
      <c r="R82" s="13">
        <v>4</v>
      </c>
    </row>
    <row r="83" spans="3:20" x14ac:dyDescent="0.3">
      <c r="C83" s="69">
        <v>150</v>
      </c>
      <c r="D83" s="11">
        <v>5</v>
      </c>
      <c r="E83" s="12">
        <v>1</v>
      </c>
      <c r="F83" s="12">
        <v>3</v>
      </c>
      <c r="G83" s="13">
        <v>1</v>
      </c>
      <c r="M83" s="62"/>
      <c r="N83" s="69">
        <v>150</v>
      </c>
      <c r="O83" s="38">
        <v>5</v>
      </c>
      <c r="P83" s="12">
        <v>1</v>
      </c>
      <c r="Q83" s="12">
        <v>3</v>
      </c>
      <c r="R83" s="13">
        <v>1</v>
      </c>
    </row>
    <row r="84" spans="3:20" x14ac:dyDescent="0.3">
      <c r="C84" s="70">
        <v>150</v>
      </c>
      <c r="D84" s="15">
        <v>7</v>
      </c>
      <c r="E84" s="16">
        <v>2</v>
      </c>
      <c r="F84" s="16">
        <v>4</v>
      </c>
      <c r="G84" s="17">
        <v>2</v>
      </c>
      <c r="M84" s="62"/>
      <c r="N84" s="70">
        <v>50</v>
      </c>
      <c r="O84" s="15">
        <v>7</v>
      </c>
      <c r="P84" s="16">
        <v>2</v>
      </c>
      <c r="Q84" s="16">
        <v>4</v>
      </c>
      <c r="R84" s="17">
        <v>2</v>
      </c>
    </row>
    <row r="85" spans="3:20" ht="15" thickBot="1" x14ac:dyDescent="0.35">
      <c r="C85" s="71">
        <v>100</v>
      </c>
      <c r="D85" s="19">
        <v>0</v>
      </c>
      <c r="E85" s="20">
        <v>0</v>
      </c>
      <c r="F85" s="20">
        <v>0</v>
      </c>
      <c r="G85" s="21">
        <v>0</v>
      </c>
      <c r="J85" s="64"/>
      <c r="M85" s="62"/>
      <c r="N85" s="71">
        <v>100</v>
      </c>
      <c r="O85" s="19">
        <v>0</v>
      </c>
      <c r="P85" s="20">
        <v>0</v>
      </c>
      <c r="Q85" s="20">
        <v>0</v>
      </c>
      <c r="R85" s="21">
        <v>0</v>
      </c>
    </row>
    <row r="86" spans="3:20" ht="15" thickBot="1" x14ac:dyDescent="0.35">
      <c r="J86" s="1"/>
      <c r="M86" s="152"/>
    </row>
    <row r="87" spans="3:20" ht="15" thickBot="1" x14ac:dyDescent="0.35">
      <c r="C87" s="72" t="s">
        <v>3</v>
      </c>
      <c r="D87" s="65" t="s">
        <v>37</v>
      </c>
      <c r="E87" s="66" t="s">
        <v>38</v>
      </c>
      <c r="F87" s="66" t="s">
        <v>39</v>
      </c>
      <c r="G87" s="82" t="s">
        <v>40</v>
      </c>
      <c r="H87" s="86" t="s">
        <v>46</v>
      </c>
      <c r="I87" s="75" t="s">
        <v>51</v>
      </c>
      <c r="J87" s="1"/>
      <c r="M87" s="62"/>
      <c r="N87" s="72" t="s">
        <v>3</v>
      </c>
      <c r="O87" s="65" t="s">
        <v>37</v>
      </c>
      <c r="P87" s="66" t="s">
        <v>38</v>
      </c>
      <c r="Q87" s="66" t="s">
        <v>39</v>
      </c>
      <c r="R87" s="82" t="s">
        <v>40</v>
      </c>
      <c r="S87" s="86" t="s">
        <v>46</v>
      </c>
      <c r="T87" s="75" t="s">
        <v>51</v>
      </c>
    </row>
    <row r="88" spans="3:20" x14ac:dyDescent="0.3">
      <c r="C88" s="78" t="s">
        <v>41</v>
      </c>
      <c r="D88" s="8">
        <v>50</v>
      </c>
      <c r="E88" s="8">
        <v>0</v>
      </c>
      <c r="F88" s="8">
        <v>0</v>
      </c>
      <c r="G88" s="83">
        <v>0</v>
      </c>
      <c r="H88" s="87">
        <f>SUM(D88:G88)</f>
        <v>50</v>
      </c>
      <c r="I88" s="24">
        <v>50</v>
      </c>
      <c r="J88" s="1"/>
      <c r="M88" s="62"/>
      <c r="N88" s="78" t="s">
        <v>41</v>
      </c>
      <c r="O88" s="8">
        <v>50</v>
      </c>
      <c r="P88" s="8">
        <v>0</v>
      </c>
      <c r="Q88" s="8">
        <v>0</v>
      </c>
      <c r="R88" s="83">
        <v>0</v>
      </c>
      <c r="S88" s="158">
        <f>SUM(O88:R88)</f>
        <v>50</v>
      </c>
      <c r="T88" s="24">
        <v>50</v>
      </c>
    </row>
    <row r="89" spans="3:20" x14ac:dyDescent="0.3">
      <c r="C89" s="79" t="s">
        <v>42</v>
      </c>
      <c r="D89" s="12">
        <v>0</v>
      </c>
      <c r="E89" s="12">
        <v>100</v>
      </c>
      <c r="F89" s="12">
        <v>0</v>
      </c>
      <c r="G89" s="84">
        <v>0</v>
      </c>
      <c r="H89" s="88">
        <f>SUM(D89:G89)</f>
        <v>100</v>
      </c>
      <c r="I89" s="25">
        <v>100</v>
      </c>
      <c r="J89" s="1"/>
      <c r="M89" s="62"/>
      <c r="N89" s="79" t="s">
        <v>42</v>
      </c>
      <c r="O89" s="12">
        <v>0</v>
      </c>
      <c r="P89" s="12">
        <v>100</v>
      </c>
      <c r="Q89" s="12">
        <v>0</v>
      </c>
      <c r="R89" s="84">
        <v>0</v>
      </c>
      <c r="S89" s="159">
        <f>SUM(O89:R89)</f>
        <v>100</v>
      </c>
      <c r="T89" s="25">
        <v>100</v>
      </c>
    </row>
    <row r="90" spans="3:20" x14ac:dyDescent="0.3">
      <c r="C90" s="79" t="s">
        <v>43</v>
      </c>
      <c r="D90" s="12">
        <v>0</v>
      </c>
      <c r="E90" s="12">
        <v>50</v>
      </c>
      <c r="F90" s="12">
        <v>0</v>
      </c>
      <c r="G90" s="84">
        <v>100</v>
      </c>
      <c r="H90" s="88">
        <f>SUM(D90:G90)</f>
        <v>150</v>
      </c>
      <c r="I90" s="25">
        <v>150</v>
      </c>
      <c r="J90" s="1"/>
      <c r="M90" s="62"/>
      <c r="N90" s="79" t="s">
        <v>43</v>
      </c>
      <c r="O90" s="12">
        <v>0</v>
      </c>
      <c r="P90" s="12">
        <v>50</v>
      </c>
      <c r="Q90" s="12">
        <v>0</v>
      </c>
      <c r="R90" s="84">
        <v>100</v>
      </c>
      <c r="S90" s="159">
        <f>SUM(O90:R90)</f>
        <v>150</v>
      </c>
      <c r="T90" s="25">
        <v>150</v>
      </c>
    </row>
    <row r="91" spans="3:20" x14ac:dyDescent="0.3">
      <c r="C91" s="79" t="s">
        <v>44</v>
      </c>
      <c r="D91" s="12">
        <v>0</v>
      </c>
      <c r="E91" s="12">
        <v>0</v>
      </c>
      <c r="F91" s="12">
        <v>100</v>
      </c>
      <c r="G91" s="84">
        <v>50</v>
      </c>
      <c r="H91" s="88">
        <f>SUM(D91:G91)</f>
        <v>150</v>
      </c>
      <c r="I91" s="25">
        <v>150</v>
      </c>
      <c r="J91" s="1"/>
      <c r="M91" s="62"/>
      <c r="N91" s="79" t="s">
        <v>44</v>
      </c>
      <c r="O91" s="12">
        <v>0</v>
      </c>
      <c r="P91" s="12">
        <v>0</v>
      </c>
      <c r="Q91" s="157">
        <v>0</v>
      </c>
      <c r="R91" s="84">
        <v>50</v>
      </c>
      <c r="S91" s="159">
        <f>SUM(O91:R91)</f>
        <v>50</v>
      </c>
      <c r="T91" s="25">
        <v>50</v>
      </c>
    </row>
    <row r="92" spans="3:20" ht="15" thickBot="1" x14ac:dyDescent="0.35">
      <c r="C92" s="80" t="s">
        <v>45</v>
      </c>
      <c r="D92" s="20">
        <v>0</v>
      </c>
      <c r="E92" s="20">
        <v>0</v>
      </c>
      <c r="F92" s="20">
        <v>100</v>
      </c>
      <c r="G92" s="85">
        <v>0</v>
      </c>
      <c r="H92" s="89">
        <f>SUM(D92:G92)</f>
        <v>100</v>
      </c>
      <c r="I92" s="81">
        <v>100</v>
      </c>
      <c r="J92" s="1"/>
      <c r="M92" s="62"/>
      <c r="N92" s="80" t="s">
        <v>45</v>
      </c>
      <c r="O92" s="20">
        <v>0</v>
      </c>
      <c r="P92" s="20">
        <v>0</v>
      </c>
      <c r="Q92" s="20">
        <v>100</v>
      </c>
      <c r="R92" s="85">
        <v>0</v>
      </c>
      <c r="S92" s="160">
        <f>SUM(O92:R92)</f>
        <v>100</v>
      </c>
      <c r="T92" s="81">
        <v>100</v>
      </c>
    </row>
    <row r="93" spans="3:20" x14ac:dyDescent="0.3">
      <c r="C93" s="120" t="s">
        <v>47</v>
      </c>
      <c r="D93" s="90">
        <f>SUM(D88:D92)</f>
        <v>50</v>
      </c>
      <c r="E93" s="90">
        <f>SUM(E88:E92)</f>
        <v>150</v>
      </c>
      <c r="F93" s="90">
        <f t="shared" ref="F93:G93" si="0">SUM(F88:F92)</f>
        <v>200</v>
      </c>
      <c r="G93" s="91">
        <f t="shared" si="0"/>
        <v>150</v>
      </c>
      <c r="H93" s="59"/>
      <c r="I93" s="23"/>
      <c r="J93" s="1"/>
      <c r="M93" s="154"/>
      <c r="N93" s="120" t="s">
        <v>47</v>
      </c>
      <c r="O93" s="73">
        <f>SUM(O88:O92)</f>
        <v>50</v>
      </c>
      <c r="P93" s="73">
        <f>SUM(P88:P92)</f>
        <v>150</v>
      </c>
      <c r="Q93" s="73">
        <f t="shared" ref="Q93:R93" si="1">SUM(Q88:Q92)</f>
        <v>100</v>
      </c>
      <c r="R93" s="74">
        <f t="shared" si="1"/>
        <v>150</v>
      </c>
      <c r="S93" s="59"/>
      <c r="T93" s="23"/>
    </row>
    <row r="94" spans="3:20" ht="15" thickBot="1" x14ac:dyDescent="0.35">
      <c r="C94" s="92" t="s">
        <v>48</v>
      </c>
      <c r="D94" s="20">
        <v>50</v>
      </c>
      <c r="E94" s="20">
        <v>150</v>
      </c>
      <c r="F94" s="20">
        <v>200</v>
      </c>
      <c r="G94" s="21">
        <v>150</v>
      </c>
      <c r="H94" s="59"/>
      <c r="I94" s="23"/>
      <c r="J94" s="1"/>
      <c r="M94" s="62"/>
      <c r="N94" s="92" t="s">
        <v>48</v>
      </c>
      <c r="O94" s="20">
        <v>50</v>
      </c>
      <c r="P94" s="20">
        <v>150</v>
      </c>
      <c r="Q94" s="20">
        <v>100</v>
      </c>
      <c r="R94" s="21">
        <v>150</v>
      </c>
      <c r="S94" s="59"/>
      <c r="T94" s="23"/>
    </row>
    <row r="95" spans="3:20" ht="15" thickBot="1" x14ac:dyDescent="0.35">
      <c r="C95" s="76"/>
      <c r="D95" s="59"/>
      <c r="E95" s="59"/>
      <c r="F95" s="59"/>
      <c r="G95" s="59"/>
      <c r="H95" s="59"/>
      <c r="I95" s="23"/>
      <c r="M95" s="62"/>
      <c r="N95" s="76"/>
      <c r="O95" s="59"/>
      <c r="P95" s="59"/>
      <c r="Q95" s="59"/>
      <c r="R95" s="59"/>
      <c r="S95" s="59"/>
      <c r="T95" s="23"/>
    </row>
    <row r="96" spans="3:20" ht="15" thickBot="1" x14ac:dyDescent="0.35">
      <c r="C96" s="121" t="s">
        <v>49</v>
      </c>
      <c r="D96" s="122">
        <f>SUMPRODUCT(D88:G92,D81:G85)</f>
        <v>1150</v>
      </c>
      <c r="E96" s="77"/>
      <c r="F96" s="77"/>
      <c r="G96" s="77"/>
      <c r="H96" s="77"/>
      <c r="I96" s="22"/>
      <c r="M96" s="153"/>
      <c r="N96" s="121" t="s">
        <v>49</v>
      </c>
      <c r="O96" s="122">
        <f>SUMPRODUCT(O88:R92,O81:R85)</f>
        <v>750</v>
      </c>
      <c r="P96" s="77"/>
      <c r="Q96" s="77"/>
      <c r="R96" s="77"/>
      <c r="S96" s="77"/>
      <c r="T96" s="22"/>
    </row>
    <row r="97" spans="13:20" x14ac:dyDescent="0.3">
      <c r="M97" s="152"/>
      <c r="N97" s="152"/>
      <c r="O97" s="152"/>
      <c r="P97" s="152"/>
      <c r="Q97" s="152"/>
      <c r="R97" s="152"/>
      <c r="S97" s="152"/>
      <c r="T97" s="152"/>
    </row>
    <row r="98" spans="13:20" x14ac:dyDescent="0.3">
      <c r="M98" s="155"/>
      <c r="N98" s="155"/>
      <c r="O98" s="155"/>
      <c r="P98" s="155"/>
      <c r="Q98" s="155"/>
      <c r="R98" s="156"/>
      <c r="S98" s="152"/>
      <c r="T98" s="152"/>
    </row>
  </sheetData>
  <mergeCells count="15">
    <mergeCell ref="M8:S8"/>
    <mergeCell ref="M10:S10"/>
    <mergeCell ref="C2:E2"/>
    <mergeCell ref="C3:E3"/>
    <mergeCell ref="C4:E4"/>
    <mergeCell ref="C8:H8"/>
    <mergeCell ref="C26:H26"/>
    <mergeCell ref="C10:H10"/>
    <mergeCell ref="M98:Q98"/>
    <mergeCell ref="M26:R26"/>
    <mergeCell ref="M28:R28"/>
    <mergeCell ref="N78:S78"/>
    <mergeCell ref="C28:H28"/>
    <mergeCell ref="C69:H69"/>
    <mergeCell ref="C78:H7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7C3F-517C-42E2-9613-CAC95DC33575}">
  <dimension ref="C3:Y69"/>
  <sheetViews>
    <sheetView zoomScale="70" zoomScaleNormal="70" workbookViewId="0">
      <selection activeCell="K3" sqref="K3"/>
    </sheetView>
  </sheetViews>
  <sheetFormatPr defaultRowHeight="14.4" x14ac:dyDescent="0.3"/>
  <sheetData>
    <row r="3" spans="3:25" x14ac:dyDescent="0.3">
      <c r="C3" s="136" t="s">
        <v>0</v>
      </c>
      <c r="D3" s="137"/>
      <c r="E3" s="138"/>
    </row>
    <row r="4" spans="3:25" x14ac:dyDescent="0.3">
      <c r="C4" s="139">
        <v>351004</v>
      </c>
      <c r="D4" s="140"/>
      <c r="E4" s="141"/>
    </row>
    <row r="5" spans="3:25" x14ac:dyDescent="0.3">
      <c r="C5" s="142" t="s">
        <v>1</v>
      </c>
      <c r="D5" s="143"/>
      <c r="E5" s="144"/>
    </row>
    <row r="9" spans="3:25" x14ac:dyDescent="0.3">
      <c r="C9" s="132" t="s">
        <v>2</v>
      </c>
      <c r="D9" s="132"/>
      <c r="E9" s="132"/>
      <c r="F9" s="132"/>
      <c r="G9" s="132"/>
      <c r="H9" s="132"/>
      <c r="L9" s="129" t="s">
        <v>50</v>
      </c>
      <c r="M9" s="130"/>
      <c r="N9" s="130"/>
      <c r="O9" s="130"/>
      <c r="P9" s="130"/>
      <c r="Q9" s="130"/>
      <c r="R9" s="130"/>
      <c r="S9" s="130"/>
      <c r="T9" s="130"/>
      <c r="U9" s="131"/>
    </row>
    <row r="10" spans="3:25" ht="15" thickBot="1" x14ac:dyDescent="0.35"/>
    <row r="11" spans="3:25" ht="15" thickBot="1" x14ac:dyDescent="0.35">
      <c r="C11" s="133" t="s">
        <v>4</v>
      </c>
      <c r="D11" s="134"/>
      <c r="E11" s="134"/>
      <c r="F11" s="134"/>
      <c r="G11" s="134"/>
      <c r="H11" s="135"/>
      <c r="J11" t="s">
        <v>220</v>
      </c>
      <c r="L11" s="179" t="s">
        <v>221</v>
      </c>
      <c r="M11" s="180"/>
      <c r="N11" s="180"/>
      <c r="O11" s="181"/>
      <c r="R11" s="182" t="s">
        <v>222</v>
      </c>
      <c r="S11" s="183"/>
      <c r="T11" s="184"/>
    </row>
    <row r="12" spans="3:25" ht="15" thickBot="1" x14ac:dyDescent="0.35">
      <c r="L12" s="171"/>
      <c r="M12" s="170" t="s">
        <v>217</v>
      </c>
      <c r="N12" s="166" t="s">
        <v>218</v>
      </c>
      <c r="O12" s="75" t="s">
        <v>219</v>
      </c>
      <c r="R12" s="171"/>
      <c r="S12" s="170" t="s">
        <v>37</v>
      </c>
      <c r="T12" s="166" t="s">
        <v>38</v>
      </c>
    </row>
    <row r="13" spans="3:25" ht="15" thickBot="1" x14ac:dyDescent="0.35">
      <c r="C13" s="171"/>
      <c r="D13" s="170" t="s">
        <v>217</v>
      </c>
      <c r="E13" s="166" t="s">
        <v>218</v>
      </c>
      <c r="F13" s="75" t="s">
        <v>219</v>
      </c>
      <c r="G13" s="177" t="s">
        <v>37</v>
      </c>
      <c r="H13" s="178" t="s">
        <v>38</v>
      </c>
      <c r="L13" s="172" t="s">
        <v>41</v>
      </c>
      <c r="M13" s="7">
        <v>18</v>
      </c>
      <c r="N13" s="8">
        <v>20</v>
      </c>
      <c r="O13" s="83">
        <v>23</v>
      </c>
      <c r="P13" s="150">
        <v>130</v>
      </c>
      <c r="R13" s="167" t="s">
        <v>217</v>
      </c>
      <c r="S13" s="158">
        <v>16</v>
      </c>
      <c r="T13" s="9">
        <v>14</v>
      </c>
      <c r="U13" s="150">
        <v>250</v>
      </c>
    </row>
    <row r="14" spans="3:25" x14ac:dyDescent="0.3">
      <c r="C14" s="172" t="s">
        <v>41</v>
      </c>
      <c r="D14" s="7">
        <v>18</v>
      </c>
      <c r="E14" s="8">
        <v>20</v>
      </c>
      <c r="F14" s="83">
        <v>23</v>
      </c>
      <c r="G14" s="161">
        <v>9999999999999</v>
      </c>
      <c r="H14" s="74">
        <v>9999999999999</v>
      </c>
      <c r="L14" s="173" t="s">
        <v>42</v>
      </c>
      <c r="M14" s="38">
        <v>16</v>
      </c>
      <c r="N14" s="12">
        <v>18</v>
      </c>
      <c r="O14" s="84">
        <v>25</v>
      </c>
      <c r="P14" s="147">
        <v>240</v>
      </c>
      <c r="R14" s="169" t="s">
        <v>218</v>
      </c>
      <c r="S14" s="159">
        <v>20</v>
      </c>
      <c r="T14" s="13">
        <v>10</v>
      </c>
      <c r="U14" s="147">
        <v>350</v>
      </c>
    </row>
    <row r="15" spans="3:25" ht="15" thickBot="1" x14ac:dyDescent="0.35">
      <c r="C15" s="173" t="s">
        <v>42</v>
      </c>
      <c r="D15" s="38">
        <v>16</v>
      </c>
      <c r="E15" s="12">
        <v>18</v>
      </c>
      <c r="F15" s="84">
        <v>25</v>
      </c>
      <c r="G15" s="159">
        <v>9999999999999</v>
      </c>
      <c r="H15" s="13">
        <v>9999999999999</v>
      </c>
      <c r="L15" s="174" t="s">
        <v>43</v>
      </c>
      <c r="M15" s="19">
        <v>20</v>
      </c>
      <c r="N15" s="20">
        <v>14</v>
      </c>
      <c r="O15" s="85">
        <v>22</v>
      </c>
      <c r="P15" s="148">
        <v>380</v>
      </c>
      <c r="R15" s="168" t="s">
        <v>219</v>
      </c>
      <c r="S15" s="163">
        <v>18</v>
      </c>
      <c r="T15" s="176">
        <v>12</v>
      </c>
      <c r="U15" s="148">
        <v>450</v>
      </c>
    </row>
    <row r="16" spans="3:25" ht="15" thickBot="1" x14ac:dyDescent="0.35">
      <c r="C16" s="174" t="s">
        <v>43</v>
      </c>
      <c r="D16" s="175">
        <v>20</v>
      </c>
      <c r="E16" s="164">
        <v>14</v>
      </c>
      <c r="F16" s="165">
        <v>22</v>
      </c>
      <c r="G16" s="160">
        <v>9999999999999</v>
      </c>
      <c r="H16" s="21">
        <v>9999999999999</v>
      </c>
      <c r="M16" s="186">
        <v>250</v>
      </c>
      <c r="N16" s="145">
        <v>350</v>
      </c>
      <c r="O16" s="146">
        <v>450</v>
      </c>
      <c r="S16" s="186">
        <v>350</v>
      </c>
      <c r="T16" s="146">
        <v>400</v>
      </c>
      <c r="Y16" t="s">
        <v>225</v>
      </c>
    </row>
    <row r="17" spans="3:19" x14ac:dyDescent="0.3">
      <c r="C17" s="167" t="s">
        <v>217</v>
      </c>
      <c r="D17" s="161">
        <v>0</v>
      </c>
      <c r="E17" s="73">
        <v>9999999999999</v>
      </c>
      <c r="F17" s="74">
        <v>9999999999999</v>
      </c>
      <c r="G17" s="158">
        <v>16</v>
      </c>
      <c r="H17" s="9">
        <v>14</v>
      </c>
    </row>
    <row r="18" spans="3:19" ht="15" thickBot="1" x14ac:dyDescent="0.35">
      <c r="C18" s="169" t="s">
        <v>218</v>
      </c>
      <c r="D18" s="159">
        <v>9999999999999</v>
      </c>
      <c r="E18" s="12">
        <v>0</v>
      </c>
      <c r="F18" s="13">
        <v>9999999999999</v>
      </c>
      <c r="G18" s="159">
        <v>20</v>
      </c>
      <c r="H18" s="13">
        <v>10</v>
      </c>
    </row>
    <row r="19" spans="3:19" ht="15" thickBot="1" x14ac:dyDescent="0.35">
      <c r="C19" s="168" t="s">
        <v>219</v>
      </c>
      <c r="D19" s="160">
        <v>9999999999999</v>
      </c>
      <c r="E19" s="20">
        <v>9999999999999</v>
      </c>
      <c r="F19" s="21">
        <v>0</v>
      </c>
      <c r="G19" s="160">
        <v>18</v>
      </c>
      <c r="H19" s="21">
        <v>12</v>
      </c>
      <c r="L19" s="179" t="s">
        <v>223</v>
      </c>
      <c r="M19" s="180"/>
      <c r="N19" s="180"/>
      <c r="O19" s="180"/>
      <c r="P19" s="180"/>
      <c r="Q19" s="181"/>
    </row>
    <row r="20" spans="3:19" ht="15" thickBot="1" x14ac:dyDescent="0.35">
      <c r="L20" s="187"/>
      <c r="M20" s="188" t="s">
        <v>217</v>
      </c>
      <c r="N20" s="189" t="s">
        <v>218</v>
      </c>
      <c r="O20" s="190" t="s">
        <v>219</v>
      </c>
      <c r="P20" s="191" t="s">
        <v>37</v>
      </c>
      <c r="Q20" s="192" t="s">
        <v>38</v>
      </c>
    </row>
    <row r="21" spans="3:19" ht="15" thickBot="1" x14ac:dyDescent="0.35">
      <c r="C21" s="215" t="s">
        <v>226</v>
      </c>
      <c r="D21" s="216"/>
      <c r="E21" s="216"/>
      <c r="F21" s="217"/>
      <c r="L21" s="172" t="s">
        <v>41</v>
      </c>
      <c r="M21" s="7">
        <v>18</v>
      </c>
      <c r="N21" s="8">
        <v>20</v>
      </c>
      <c r="O21" s="83">
        <v>23</v>
      </c>
      <c r="P21" s="211">
        <v>100</v>
      </c>
      <c r="Q21" s="206">
        <v>100</v>
      </c>
    </row>
    <row r="22" spans="3:19" ht="15" thickBot="1" x14ac:dyDescent="0.35">
      <c r="C22" s="171"/>
      <c r="D22" s="170">
        <v>250</v>
      </c>
      <c r="E22" s="166">
        <v>350</v>
      </c>
      <c r="F22" s="75">
        <v>450</v>
      </c>
      <c r="L22" s="173" t="s">
        <v>42</v>
      </c>
      <c r="M22" s="38">
        <v>16</v>
      </c>
      <c r="N22" s="12">
        <v>18</v>
      </c>
      <c r="O22" s="84">
        <v>25</v>
      </c>
      <c r="P22" s="208">
        <v>100</v>
      </c>
      <c r="Q22" s="207">
        <v>100</v>
      </c>
    </row>
    <row r="23" spans="3:19" ht="15" thickBot="1" x14ac:dyDescent="0.35">
      <c r="C23" s="172">
        <v>130</v>
      </c>
      <c r="D23" s="214" t="s">
        <v>229</v>
      </c>
      <c r="E23" s="35">
        <v>20</v>
      </c>
      <c r="F23" s="220" t="s">
        <v>231</v>
      </c>
      <c r="G23" s="62"/>
      <c r="L23" s="174" t="s">
        <v>43</v>
      </c>
      <c r="M23" s="175">
        <v>20</v>
      </c>
      <c r="N23" s="164">
        <v>14</v>
      </c>
      <c r="O23" s="165">
        <v>22</v>
      </c>
      <c r="P23" s="209">
        <v>100</v>
      </c>
      <c r="Q23" s="212">
        <v>100</v>
      </c>
    </row>
    <row r="24" spans="3:19" x14ac:dyDescent="0.3">
      <c r="C24" s="173">
        <v>240</v>
      </c>
      <c r="D24" s="213" t="s">
        <v>228</v>
      </c>
      <c r="E24" s="32">
        <v>18</v>
      </c>
      <c r="F24" s="27">
        <v>25</v>
      </c>
      <c r="G24" s="62"/>
      <c r="L24" s="167" t="s">
        <v>217</v>
      </c>
      <c r="M24" s="161">
        <v>0</v>
      </c>
      <c r="N24" s="205">
        <v>100</v>
      </c>
      <c r="O24" s="206">
        <v>100</v>
      </c>
      <c r="P24" s="7">
        <v>16</v>
      </c>
      <c r="Q24" s="9">
        <v>14</v>
      </c>
    </row>
    <row r="25" spans="3:19" x14ac:dyDescent="0.3">
      <c r="C25" s="173">
        <v>380</v>
      </c>
      <c r="D25" s="31">
        <v>20</v>
      </c>
      <c r="E25" s="42" t="s">
        <v>227</v>
      </c>
      <c r="F25" s="30" t="s">
        <v>230</v>
      </c>
      <c r="G25" s="62"/>
      <c r="L25" s="169" t="s">
        <v>218</v>
      </c>
      <c r="M25" s="208">
        <v>100</v>
      </c>
      <c r="N25" s="12">
        <v>0</v>
      </c>
      <c r="O25" s="207">
        <v>100</v>
      </c>
      <c r="P25" s="38">
        <v>20</v>
      </c>
      <c r="Q25" s="13">
        <v>10</v>
      </c>
    </row>
    <row r="26" spans="3:19" ht="15" thickBot="1" x14ac:dyDescent="0.35">
      <c r="C26" s="174">
        <v>300</v>
      </c>
      <c r="D26" s="218">
        <v>0</v>
      </c>
      <c r="E26" s="219">
        <v>0</v>
      </c>
      <c r="F26" s="221" t="s">
        <v>232</v>
      </c>
      <c r="L26" s="168" t="s">
        <v>219</v>
      </c>
      <c r="M26" s="209">
        <v>100</v>
      </c>
      <c r="N26" s="210">
        <v>100</v>
      </c>
      <c r="O26" s="21">
        <v>0</v>
      </c>
      <c r="P26" s="19">
        <v>18</v>
      </c>
      <c r="Q26" s="21">
        <v>12</v>
      </c>
    </row>
    <row r="27" spans="3:19" ht="15" thickBot="1" x14ac:dyDescent="0.35"/>
    <row r="28" spans="3:19" ht="15" thickBot="1" x14ac:dyDescent="0.35">
      <c r="C28" s="126" t="s">
        <v>207</v>
      </c>
      <c r="D28" s="127"/>
      <c r="E28" s="127"/>
      <c r="F28" s="127"/>
      <c r="G28" s="127"/>
      <c r="H28" s="128"/>
      <c r="L28" s="179" t="s">
        <v>224</v>
      </c>
      <c r="M28" s="180"/>
      <c r="N28" s="180"/>
      <c r="O28" s="180"/>
      <c r="P28" s="180"/>
      <c r="Q28" s="181"/>
    </row>
    <row r="29" spans="3:19" ht="15" thickBot="1" x14ac:dyDescent="0.35">
      <c r="L29" s="187"/>
      <c r="M29" s="188" t="s">
        <v>217</v>
      </c>
      <c r="N29" s="189" t="s">
        <v>218</v>
      </c>
      <c r="O29" s="190" t="s">
        <v>219</v>
      </c>
      <c r="P29" s="191" t="s">
        <v>37</v>
      </c>
      <c r="Q29" s="192" t="s">
        <v>38</v>
      </c>
    </row>
    <row r="30" spans="3:19" ht="15" thickBot="1" x14ac:dyDescent="0.35">
      <c r="C30" s="215" t="s">
        <v>226</v>
      </c>
      <c r="D30" s="216"/>
      <c r="E30" s="216"/>
      <c r="F30" s="217"/>
      <c r="L30" s="172" t="s">
        <v>41</v>
      </c>
      <c r="M30" s="7">
        <v>10</v>
      </c>
      <c r="N30" s="8">
        <v>0</v>
      </c>
      <c r="O30" s="83">
        <v>120</v>
      </c>
      <c r="P30" s="161">
        <v>0</v>
      </c>
      <c r="Q30" s="162">
        <v>0</v>
      </c>
      <c r="R30" s="199">
        <f>SUM(M30:Q30)</f>
        <v>130</v>
      </c>
      <c r="S30" s="151">
        <v>130</v>
      </c>
    </row>
    <row r="31" spans="3:19" ht="15" thickBot="1" x14ac:dyDescent="0.35">
      <c r="C31" s="171"/>
      <c r="D31" s="170">
        <v>250</v>
      </c>
      <c r="E31" s="166">
        <v>350</v>
      </c>
      <c r="F31" s="75">
        <v>450</v>
      </c>
      <c r="L31" s="173" t="s">
        <v>42</v>
      </c>
      <c r="M31" s="38">
        <v>240</v>
      </c>
      <c r="N31" s="12">
        <v>0</v>
      </c>
      <c r="O31" s="84">
        <v>0</v>
      </c>
      <c r="P31" s="159">
        <v>0</v>
      </c>
      <c r="Q31" s="84">
        <v>0</v>
      </c>
      <c r="R31" s="203">
        <f t="shared" ref="R31:R35" si="0">SUM(M31:Q31)</f>
        <v>240</v>
      </c>
      <c r="S31" s="25">
        <v>240</v>
      </c>
    </row>
    <row r="32" spans="3:19" ht="15" thickBot="1" x14ac:dyDescent="0.35">
      <c r="C32" s="172">
        <v>130</v>
      </c>
      <c r="D32" s="214" t="s">
        <v>229</v>
      </c>
      <c r="E32" s="35">
        <v>20</v>
      </c>
      <c r="F32" s="220" t="s">
        <v>231</v>
      </c>
      <c r="G32" s="196" t="s">
        <v>208</v>
      </c>
      <c r="L32" s="174" t="s">
        <v>43</v>
      </c>
      <c r="M32" s="175">
        <v>0</v>
      </c>
      <c r="N32" s="164">
        <v>350</v>
      </c>
      <c r="O32" s="165">
        <v>30</v>
      </c>
      <c r="P32" s="160">
        <v>0</v>
      </c>
      <c r="Q32" s="85">
        <v>0</v>
      </c>
      <c r="R32" s="203">
        <f t="shared" si="0"/>
        <v>380</v>
      </c>
      <c r="S32" s="25">
        <v>380</v>
      </c>
    </row>
    <row r="33" spans="3:19" x14ac:dyDescent="0.3">
      <c r="C33" s="173">
        <v>240</v>
      </c>
      <c r="D33" s="213" t="s">
        <v>228</v>
      </c>
      <c r="E33" s="32">
        <v>18</v>
      </c>
      <c r="F33" s="27">
        <v>25</v>
      </c>
      <c r="G33" s="197" t="s">
        <v>211</v>
      </c>
      <c r="L33" s="167" t="s">
        <v>217</v>
      </c>
      <c r="M33" s="161">
        <v>0</v>
      </c>
      <c r="N33" s="73">
        <v>0</v>
      </c>
      <c r="O33" s="74">
        <v>0</v>
      </c>
      <c r="P33" s="158">
        <v>250</v>
      </c>
      <c r="Q33" s="83">
        <v>0</v>
      </c>
      <c r="R33" s="203">
        <f t="shared" si="0"/>
        <v>250</v>
      </c>
      <c r="S33" s="25">
        <v>250</v>
      </c>
    </row>
    <row r="34" spans="3:19" x14ac:dyDescent="0.3">
      <c r="C34" s="173">
        <v>380</v>
      </c>
      <c r="D34" s="31">
        <v>20</v>
      </c>
      <c r="E34" s="42" t="s">
        <v>227</v>
      </c>
      <c r="F34" s="30" t="s">
        <v>230</v>
      </c>
      <c r="G34" s="197" t="s">
        <v>236</v>
      </c>
      <c r="L34" s="169" t="s">
        <v>218</v>
      </c>
      <c r="M34" s="159">
        <v>0</v>
      </c>
      <c r="N34" s="12">
        <v>0</v>
      </c>
      <c r="O34" s="13">
        <v>0</v>
      </c>
      <c r="P34" s="159">
        <v>0</v>
      </c>
      <c r="Q34" s="84">
        <v>350</v>
      </c>
      <c r="R34" s="203">
        <f t="shared" si="0"/>
        <v>350</v>
      </c>
      <c r="S34" s="25">
        <v>350</v>
      </c>
    </row>
    <row r="35" spans="3:19" ht="15" thickBot="1" x14ac:dyDescent="0.35">
      <c r="C35" s="174">
        <v>300</v>
      </c>
      <c r="D35" s="218">
        <v>0</v>
      </c>
      <c r="E35" s="219">
        <v>0</v>
      </c>
      <c r="F35" s="221" t="s">
        <v>232</v>
      </c>
      <c r="G35" s="222" t="s">
        <v>238</v>
      </c>
      <c r="L35" s="168" t="s">
        <v>219</v>
      </c>
      <c r="M35" s="163">
        <v>0</v>
      </c>
      <c r="N35" s="164">
        <v>0</v>
      </c>
      <c r="O35" s="176">
        <v>300</v>
      </c>
      <c r="P35" s="163">
        <v>100</v>
      </c>
      <c r="Q35" s="165">
        <v>50</v>
      </c>
      <c r="R35" s="204">
        <f>SUM(M35:Q35)</f>
        <v>450</v>
      </c>
      <c r="S35" s="81">
        <v>450</v>
      </c>
    </row>
    <row r="36" spans="3:19" ht="15" thickBot="1" x14ac:dyDescent="0.35">
      <c r="C36" s="60"/>
      <c r="D36" s="193" t="s">
        <v>235</v>
      </c>
      <c r="E36" s="194" t="s">
        <v>237</v>
      </c>
      <c r="F36" s="195" t="s">
        <v>234</v>
      </c>
      <c r="G36" s="223" t="s">
        <v>233</v>
      </c>
      <c r="M36" s="199">
        <f>SUM(M30:M35)</f>
        <v>250</v>
      </c>
      <c r="N36" s="200">
        <f t="shared" ref="N36:P36" si="1">SUM(N30:N35)</f>
        <v>350</v>
      </c>
      <c r="O36" s="200">
        <f t="shared" si="1"/>
        <v>450</v>
      </c>
      <c r="P36" s="200">
        <f t="shared" si="1"/>
        <v>350</v>
      </c>
      <c r="Q36" s="201">
        <f>SUM(Q30:Q35)</f>
        <v>400</v>
      </c>
    </row>
    <row r="37" spans="3:19" ht="15" thickBot="1" x14ac:dyDescent="0.35">
      <c r="M37" s="202">
        <v>250</v>
      </c>
      <c r="N37" s="149">
        <v>350</v>
      </c>
      <c r="O37" s="149">
        <v>450</v>
      </c>
      <c r="P37" s="149">
        <v>350</v>
      </c>
      <c r="Q37" s="81">
        <v>400</v>
      </c>
      <c r="S37" s="198">
        <f>SUMPRODUCT(M30:Q35,M21:Q26)</f>
        <v>22240</v>
      </c>
    </row>
    <row r="38" spans="3:19" ht="15" thickBot="1" x14ac:dyDescent="0.35">
      <c r="C38" s="215" t="s">
        <v>226</v>
      </c>
      <c r="D38" s="216"/>
      <c r="E38" s="216"/>
      <c r="F38" s="217"/>
    </row>
    <row r="39" spans="3:19" ht="15" thickBot="1" x14ac:dyDescent="0.35">
      <c r="C39" s="171"/>
      <c r="D39" s="170">
        <v>250</v>
      </c>
      <c r="E39" s="166">
        <v>350</v>
      </c>
      <c r="F39" s="75">
        <v>450</v>
      </c>
    </row>
    <row r="40" spans="3:19" x14ac:dyDescent="0.3">
      <c r="C40" s="172">
        <v>130</v>
      </c>
      <c r="D40" s="214" t="s">
        <v>229</v>
      </c>
      <c r="E40" s="46">
        <v>5</v>
      </c>
      <c r="F40" s="220" t="s">
        <v>231</v>
      </c>
      <c r="G40" s="196" t="s">
        <v>208</v>
      </c>
    </row>
    <row r="41" spans="3:19" x14ac:dyDescent="0.3">
      <c r="C41" s="173">
        <v>240</v>
      </c>
      <c r="D41" s="213" t="s">
        <v>228</v>
      </c>
      <c r="E41" s="47">
        <v>5</v>
      </c>
      <c r="F41" s="54">
        <v>4</v>
      </c>
      <c r="G41" s="197" t="s">
        <v>211</v>
      </c>
    </row>
    <row r="42" spans="3:19" x14ac:dyDescent="0.3">
      <c r="C42" s="173">
        <v>380</v>
      </c>
      <c r="D42" s="48">
        <v>3</v>
      </c>
      <c r="E42" s="42" t="s">
        <v>227</v>
      </c>
      <c r="F42" s="30" t="s">
        <v>230</v>
      </c>
      <c r="G42" s="197" t="s">
        <v>236</v>
      </c>
    </row>
    <row r="43" spans="3:19" ht="15" thickBot="1" x14ac:dyDescent="0.35">
      <c r="C43" s="174">
        <v>300</v>
      </c>
      <c r="D43" s="224">
        <v>5</v>
      </c>
      <c r="E43" s="225">
        <v>8</v>
      </c>
      <c r="F43" s="221" t="s">
        <v>232</v>
      </c>
      <c r="G43" s="222" t="s">
        <v>238</v>
      </c>
    </row>
    <row r="44" spans="3:19" ht="15" thickBot="1" x14ac:dyDescent="0.35">
      <c r="C44" s="60"/>
      <c r="D44" s="193" t="s">
        <v>235</v>
      </c>
      <c r="E44" s="194" t="s">
        <v>237</v>
      </c>
      <c r="F44" s="195" t="s">
        <v>234</v>
      </c>
      <c r="G44" s="223" t="s">
        <v>233</v>
      </c>
    </row>
    <row r="46" spans="3:19" ht="15" thickBot="1" x14ac:dyDescent="0.35">
      <c r="F46" s="185"/>
    </row>
    <row r="47" spans="3:19" ht="15" thickBot="1" x14ac:dyDescent="0.35">
      <c r="C47" s="179" t="s">
        <v>239</v>
      </c>
      <c r="D47" s="180"/>
      <c r="E47" s="181"/>
      <c r="F47" s="62"/>
    </row>
    <row r="48" spans="3:19" ht="15" thickBot="1" x14ac:dyDescent="0.35">
      <c r="C48" s="171"/>
      <c r="D48" s="170">
        <v>350</v>
      </c>
      <c r="E48" s="75">
        <v>400</v>
      </c>
      <c r="F48" s="154"/>
      <c r="G48" s="62"/>
    </row>
    <row r="49" spans="3:8" x14ac:dyDescent="0.3">
      <c r="C49" s="172">
        <v>250</v>
      </c>
      <c r="D49" s="230" t="s">
        <v>242</v>
      </c>
      <c r="E49" s="228">
        <v>14</v>
      </c>
      <c r="F49" s="154"/>
      <c r="G49" s="62"/>
    </row>
    <row r="50" spans="3:8" x14ac:dyDescent="0.3">
      <c r="C50" s="173">
        <v>350</v>
      </c>
      <c r="D50" s="227">
        <v>20</v>
      </c>
      <c r="E50" s="226" t="s">
        <v>240</v>
      </c>
      <c r="F50" s="154"/>
      <c r="G50" s="62"/>
    </row>
    <row r="51" spans="3:8" ht="15" thickBot="1" x14ac:dyDescent="0.35">
      <c r="C51" s="174">
        <v>150</v>
      </c>
      <c r="D51" s="231" t="s">
        <v>243</v>
      </c>
      <c r="E51" s="229" t="s">
        <v>241</v>
      </c>
      <c r="F51" s="62"/>
    </row>
    <row r="53" spans="3:8" x14ac:dyDescent="0.3">
      <c r="C53" s="126" t="s">
        <v>207</v>
      </c>
      <c r="D53" s="127"/>
      <c r="E53" s="127"/>
      <c r="F53" s="127"/>
      <c r="G53" s="127"/>
      <c r="H53" s="128"/>
    </row>
    <row r="54" spans="3:8" ht="15" thickBot="1" x14ac:dyDescent="0.35"/>
    <row r="55" spans="3:8" ht="15" thickBot="1" x14ac:dyDescent="0.35">
      <c r="C55" s="179" t="s">
        <v>239</v>
      </c>
      <c r="D55" s="180"/>
      <c r="E55" s="181"/>
      <c r="F55" s="232"/>
      <c r="G55" s="152"/>
    </row>
    <row r="56" spans="3:8" ht="15" thickBot="1" x14ac:dyDescent="0.35">
      <c r="C56" s="171"/>
      <c r="D56" s="170">
        <v>350</v>
      </c>
      <c r="E56" s="75">
        <v>400</v>
      </c>
      <c r="F56" s="62"/>
      <c r="G56" s="152"/>
    </row>
    <row r="57" spans="3:8" x14ac:dyDescent="0.3">
      <c r="C57" s="172">
        <v>250</v>
      </c>
      <c r="D57" s="230" t="s">
        <v>242</v>
      </c>
      <c r="E57" s="228">
        <v>14</v>
      </c>
      <c r="F57" s="196" t="s">
        <v>208</v>
      </c>
      <c r="G57" s="152"/>
    </row>
    <row r="58" spans="3:8" x14ac:dyDescent="0.3">
      <c r="C58" s="173">
        <v>350</v>
      </c>
      <c r="D58" s="227">
        <v>20</v>
      </c>
      <c r="E58" s="226" t="s">
        <v>240</v>
      </c>
      <c r="F58" s="197" t="s">
        <v>9</v>
      </c>
      <c r="G58" s="152"/>
    </row>
    <row r="59" spans="3:8" ht="15" thickBot="1" x14ac:dyDescent="0.35">
      <c r="C59" s="174">
        <v>150</v>
      </c>
      <c r="D59" s="231" t="s">
        <v>243</v>
      </c>
      <c r="E59" s="229" t="s">
        <v>241</v>
      </c>
      <c r="F59" s="197" t="s">
        <v>245</v>
      </c>
      <c r="G59" s="152"/>
    </row>
    <row r="60" spans="3:8" ht="15" thickBot="1" x14ac:dyDescent="0.35">
      <c r="C60" s="62"/>
      <c r="D60" s="193" t="s">
        <v>244</v>
      </c>
      <c r="E60" s="194" t="s">
        <v>246</v>
      </c>
      <c r="F60" s="223" t="s">
        <v>233</v>
      </c>
      <c r="G60" s="152"/>
    </row>
    <row r="61" spans="3:8" ht="15" thickBot="1" x14ac:dyDescent="0.35">
      <c r="C61" s="152"/>
      <c r="D61" s="152"/>
      <c r="E61" s="152"/>
      <c r="F61" s="152"/>
      <c r="G61" s="62"/>
    </row>
    <row r="62" spans="3:8" ht="15" thickBot="1" x14ac:dyDescent="0.35">
      <c r="C62" s="179" t="s">
        <v>239</v>
      </c>
      <c r="D62" s="180"/>
      <c r="E62" s="181"/>
      <c r="F62" s="232"/>
      <c r="G62" s="152"/>
    </row>
    <row r="63" spans="3:8" ht="15" thickBot="1" x14ac:dyDescent="0.35">
      <c r="C63" s="171"/>
      <c r="D63" s="170">
        <v>350</v>
      </c>
      <c r="E63" s="75">
        <v>400</v>
      </c>
      <c r="F63" s="62"/>
      <c r="G63" s="152"/>
    </row>
    <row r="64" spans="3:8" x14ac:dyDescent="0.3">
      <c r="C64" s="172">
        <v>250</v>
      </c>
      <c r="D64" s="230" t="s">
        <v>242</v>
      </c>
      <c r="E64" s="233">
        <v>4</v>
      </c>
      <c r="F64" s="196" t="s">
        <v>208</v>
      </c>
      <c r="G64" s="152"/>
    </row>
    <row r="65" spans="3:7" x14ac:dyDescent="0.3">
      <c r="C65" s="173">
        <v>350</v>
      </c>
      <c r="D65" s="234">
        <v>4</v>
      </c>
      <c r="E65" s="226" t="s">
        <v>240</v>
      </c>
      <c r="F65" s="197" t="s">
        <v>9</v>
      </c>
      <c r="G65" s="152"/>
    </row>
    <row r="66" spans="3:7" ht="15" thickBot="1" x14ac:dyDescent="0.35">
      <c r="C66" s="174">
        <v>150</v>
      </c>
      <c r="D66" s="231" t="s">
        <v>243</v>
      </c>
      <c r="E66" s="229" t="s">
        <v>241</v>
      </c>
      <c r="F66" s="197" t="s">
        <v>245</v>
      </c>
      <c r="G66" s="152"/>
    </row>
    <row r="67" spans="3:7" ht="15" thickBot="1" x14ac:dyDescent="0.35">
      <c r="C67" s="62"/>
      <c r="D67" s="193" t="s">
        <v>244</v>
      </c>
      <c r="E67" s="194" t="s">
        <v>246</v>
      </c>
      <c r="F67" s="223" t="s">
        <v>233</v>
      </c>
      <c r="G67" s="152"/>
    </row>
    <row r="68" spans="3:7" x14ac:dyDescent="0.3">
      <c r="C68" s="62"/>
      <c r="D68" s="62"/>
      <c r="E68" s="62"/>
      <c r="F68" s="62"/>
      <c r="G68" s="152"/>
    </row>
    <row r="69" spans="3:7" x14ac:dyDescent="0.3">
      <c r="C69" s="152"/>
      <c r="D69" s="152"/>
      <c r="E69" s="152"/>
      <c r="F69" s="152"/>
      <c r="G69" s="62"/>
    </row>
  </sheetData>
  <mergeCells count="17">
    <mergeCell ref="C38:F38"/>
    <mergeCell ref="C53:H53"/>
    <mergeCell ref="C47:E47"/>
    <mergeCell ref="C55:E55"/>
    <mergeCell ref="C62:E62"/>
    <mergeCell ref="L9:U9"/>
    <mergeCell ref="L19:Q19"/>
    <mergeCell ref="L28:Q28"/>
    <mergeCell ref="C21:F21"/>
    <mergeCell ref="C30:F30"/>
    <mergeCell ref="C28:H28"/>
    <mergeCell ref="C3:E3"/>
    <mergeCell ref="C4:E4"/>
    <mergeCell ref="C5:E5"/>
    <mergeCell ref="C9:H9"/>
    <mergeCell ref="C11:H11"/>
    <mergeCell ref="L11:O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 Report 1</vt:lpstr>
      <vt:lpstr>Sensitivity Report 1</vt:lpstr>
      <vt:lpstr>Limits Report 1</vt:lpstr>
      <vt:lpstr>Answer Report 2</vt:lpstr>
      <vt:lpstr>Sensitivity Report 2</vt:lpstr>
      <vt:lpstr>Limits Report 2</vt:lpstr>
      <vt:lpstr>Задача 1</vt:lpstr>
      <vt:lpstr>Задача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Naryvonchyk</dc:creator>
  <cp:lastModifiedBy>Andrei Naryvonchyk</cp:lastModifiedBy>
  <dcterms:created xsi:type="dcterms:W3CDTF">2015-06-05T18:17:20Z</dcterms:created>
  <dcterms:modified xsi:type="dcterms:W3CDTF">2025-11-01T13:42:44Z</dcterms:modified>
</cp:coreProperties>
</file>