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drey Naryvonchyk\Desktop\5 семестр\МАТПРОГ\Лабораторная работа 6\"/>
    </mc:Choice>
  </mc:AlternateContent>
  <xr:revisionPtr revIDLastSave="0" documentId="13_ncr:1_{071C1411-149A-496D-B17C-4CDF27C8668E}" xr6:coauthVersionLast="47" xr6:coauthVersionMax="47" xr10:uidLastSave="{00000000-0000-0000-0000-000000000000}"/>
  <bookViews>
    <workbookView xWindow="-108" yWindow="-108" windowWidth="23256" windowHeight="12576" tabRatio="394" firstSheet="8" activeTab="8" xr2:uid="{00000000-000D-0000-FFFF-FFFF00000000}"/>
  </bookViews>
  <sheets>
    <sheet name="Answer Report 1" sheetId="2" state="hidden" r:id="rId1"/>
    <sheet name="Sensitivity Report 1" sheetId="3" state="hidden" r:id="rId2"/>
    <sheet name="Limits Report 1" sheetId="4" state="hidden" r:id="rId3"/>
    <sheet name="Answer Report 2" sheetId="5" state="hidden" r:id="rId4"/>
    <sheet name="Sensitivity Report 2" sheetId="6" state="hidden" r:id="rId5"/>
    <sheet name="Limits Report 2" sheetId="7" state="hidden" r:id="rId6"/>
    <sheet name="Sensitivity Report 3" sheetId="11" state="hidden" r:id="rId7"/>
    <sheet name="Sensitivity Report 4" sheetId="12" state="hidden" r:id="rId8"/>
    <sheet name="ЛР6 Задача 1" sheetId="9" r:id="rId9"/>
    <sheet name="Linearity Report 1" sheetId="14" state="hidden" r:id="rId10"/>
    <sheet name="ЛР6 Задача 2" sheetId="13" r:id="rId11"/>
    <sheet name="Задача 1" sheetId="1" state="hidden" r:id="rId12"/>
    <sheet name="Задача 2" sheetId="8" state="hidden" r:id="rId13"/>
  </sheets>
  <definedNames>
    <definedName name="solver_adj" localSheetId="11" hidden="1">'Задача 1'!$O$88:$R$92</definedName>
    <definedName name="solver_adj" localSheetId="12" hidden="1">'Задача 2'!$M$30:$Q$35</definedName>
    <definedName name="solver_adj" localSheetId="8" hidden="1">'ЛР6 Задача 1'!$E$114:$G$123</definedName>
    <definedName name="solver_adj" localSheetId="10" hidden="1">'ЛР6 Задача 2'!$E$70:$G$77</definedName>
    <definedName name="solver_cvg" localSheetId="11" hidden="1">0.0001</definedName>
    <definedName name="solver_cvg" localSheetId="12" hidden="1">0.0001</definedName>
    <definedName name="solver_cvg" localSheetId="8" hidden="1">0.0001</definedName>
    <definedName name="solver_cvg" localSheetId="10" hidden="1">0.0001</definedName>
    <definedName name="solver_drv" localSheetId="11" hidden="1">2</definedName>
    <definedName name="solver_drv" localSheetId="12" hidden="1">1</definedName>
    <definedName name="solver_drv" localSheetId="8" hidden="1">1</definedName>
    <definedName name="solver_drv" localSheetId="10" hidden="1">1</definedName>
    <definedName name="solver_eng" localSheetId="11" hidden="1">2</definedName>
    <definedName name="solver_eng" localSheetId="12" hidden="1">2</definedName>
    <definedName name="solver_eng" localSheetId="8" hidden="1">1</definedName>
    <definedName name="solver_eng" localSheetId="10" hidden="1">2</definedName>
    <definedName name="solver_est" localSheetId="11" hidden="1">1</definedName>
    <definedName name="solver_est" localSheetId="12" hidden="1">1</definedName>
    <definedName name="solver_est" localSheetId="8" hidden="1">1</definedName>
    <definedName name="solver_est" localSheetId="10" hidden="1">1</definedName>
    <definedName name="solver_itr" localSheetId="11" hidden="1">2147483647</definedName>
    <definedName name="solver_itr" localSheetId="12" hidden="1">2147483647</definedName>
    <definedName name="solver_itr" localSheetId="8" hidden="1">2147483647</definedName>
    <definedName name="solver_itr" localSheetId="10" hidden="1">2147483647</definedName>
    <definedName name="solver_lhs0" localSheetId="11" hidden="1">'Задача 1'!$O$88:$R$92</definedName>
    <definedName name="solver_lhs1" localSheetId="11" hidden="1">'Задача 1'!$O$88:$R$92</definedName>
    <definedName name="solver_lhs1" localSheetId="12" hidden="1">'Задача 2'!$M$30:$Q$35</definedName>
    <definedName name="solver_lhs1" localSheetId="8" hidden="1">'ЛР6 Задача 1'!$E$114:$E$116</definedName>
    <definedName name="solver_lhs1" localSheetId="10" hidden="1">'ЛР6 Задача 2'!$E$73</definedName>
    <definedName name="solver_lhs10" localSheetId="8" hidden="1">'ЛР6 Задача 1'!$F$122</definedName>
    <definedName name="solver_lhs10" localSheetId="10" hidden="1">'ЛР6 Задача 2'!$H$70:$H$77</definedName>
    <definedName name="solver_lhs11" localSheetId="8" hidden="1">'ЛР6 Задача 1'!$F$123</definedName>
    <definedName name="solver_lhs11" localSheetId="10" hidden="1">'ЛР6 Задача 2'!$H$70:$H$77</definedName>
    <definedName name="solver_lhs12" localSheetId="8" hidden="1">'ЛР6 Задача 1'!$G$114:$G$123</definedName>
    <definedName name="solver_lhs12" localSheetId="10" hidden="1">'ЛР6 Задача 2'!$L$80</definedName>
    <definedName name="solver_lhs13" localSheetId="8" hidden="1">'ЛР6 Задача 1'!$H$114:$H$123</definedName>
    <definedName name="solver_lhs13" localSheetId="10" hidden="1">'ЛР6 Задача 2'!$L$80</definedName>
    <definedName name="solver_lhs14" localSheetId="8" hidden="1">'ЛР6 Задача 1'!$H$114:$H$123</definedName>
    <definedName name="solver_lhs2" localSheetId="11" hidden="1">'Задача 1'!$O$93:$R$93</definedName>
    <definedName name="solver_lhs2" localSheetId="12" hidden="1">'Задача 2'!$M$36:$Q$36</definedName>
    <definedName name="solver_lhs2" localSheetId="8" hidden="1">'ЛР6 Задача 1'!$E$117:$E$118</definedName>
    <definedName name="solver_lhs2" localSheetId="10" hidden="1">'ЛР6 Задача 2'!$E$74:$E$75</definedName>
    <definedName name="solver_lhs3" localSheetId="11" hidden="1">'Задача 1'!$P$90</definedName>
    <definedName name="solver_lhs3" localSheetId="12" hidden="1">'Задача 2'!$R$30:$R$35</definedName>
    <definedName name="solver_lhs3" localSheetId="8" hidden="1">'ЛР6 Задача 1'!$E$119:$E$120</definedName>
    <definedName name="solver_lhs3" localSheetId="10" hidden="1">'ЛР6 Задача 2'!$E$74:$E$75</definedName>
    <definedName name="solver_lhs4" localSheetId="11" hidden="1">'Задача 1'!$S$88:$S$92</definedName>
    <definedName name="solver_lhs4" localSheetId="8" hidden="1">'ЛР6 Задача 1'!$E$121:$E$122</definedName>
    <definedName name="solver_lhs4" localSheetId="10" hidden="1">'ЛР6 Задача 2'!$E$76</definedName>
    <definedName name="solver_lhs5" localSheetId="11" hidden="1">'Задача 1'!$Q$91</definedName>
    <definedName name="solver_lhs5" localSheetId="8" hidden="1">'ЛР6 Задача 1'!$E$121:$E$122</definedName>
    <definedName name="solver_lhs5" localSheetId="10" hidden="1">'ЛР6 Задача 2'!$E$76</definedName>
    <definedName name="solver_lhs6" localSheetId="8" hidden="1">'ЛР6 Задача 1'!$E$121:$E$122</definedName>
    <definedName name="solver_lhs6" localSheetId="10" hidden="1">'ЛР6 Задача 2'!$E$77</definedName>
    <definedName name="solver_lhs7" localSheetId="8" hidden="1">'ЛР6 Задача 1'!$E$123</definedName>
    <definedName name="solver_lhs7" localSheetId="10" hidden="1">'ЛР6 Задача 2'!$E$77</definedName>
    <definedName name="solver_lhs8" localSheetId="8" hidden="1">'ЛР6 Задача 1'!$E$123</definedName>
    <definedName name="solver_lhs8" localSheetId="10" hidden="1">'ЛР6 Задача 2'!$E$77</definedName>
    <definedName name="solver_lhs9" localSheetId="8" hidden="1">'ЛР6 Задача 1'!$F$120</definedName>
    <definedName name="solver_lhs9" localSheetId="10" hidden="1">'ЛР6 Задача 2'!$G$70:$G$77</definedName>
    <definedName name="solver_mip" localSheetId="11" hidden="1">2147483647</definedName>
    <definedName name="solver_mip" localSheetId="12" hidden="1">2147483647</definedName>
    <definedName name="solver_mip" localSheetId="8" hidden="1">2147483647</definedName>
    <definedName name="solver_mip" localSheetId="10" hidden="1">2147483647</definedName>
    <definedName name="solver_mni" localSheetId="11" hidden="1">30</definedName>
    <definedName name="solver_mni" localSheetId="12" hidden="1">30</definedName>
    <definedName name="solver_mni" localSheetId="8" hidden="1">30</definedName>
    <definedName name="solver_mni" localSheetId="10" hidden="1">30</definedName>
    <definedName name="solver_mrt" localSheetId="11" hidden="1">0.075</definedName>
    <definedName name="solver_mrt" localSheetId="12" hidden="1">0.075</definedName>
    <definedName name="solver_mrt" localSheetId="8" hidden="1">0.075</definedName>
    <definedName name="solver_mrt" localSheetId="10" hidden="1">0.075</definedName>
    <definedName name="solver_msl" localSheetId="11" hidden="1">2</definedName>
    <definedName name="solver_msl" localSheetId="12" hidden="1">2</definedName>
    <definedName name="solver_msl" localSheetId="8" hidden="1">2</definedName>
    <definedName name="solver_msl" localSheetId="10" hidden="1">2</definedName>
    <definedName name="solver_neg" localSheetId="11" hidden="1">1</definedName>
    <definedName name="solver_neg" localSheetId="12" hidden="1">1</definedName>
    <definedName name="solver_neg" localSheetId="8" hidden="1">1</definedName>
    <definedName name="solver_neg" localSheetId="10" hidden="1">1</definedName>
    <definedName name="solver_nod" localSheetId="11" hidden="1">2147483647</definedName>
    <definedName name="solver_nod" localSheetId="12" hidden="1">2147483647</definedName>
    <definedName name="solver_nod" localSheetId="8" hidden="1">2147483647</definedName>
    <definedName name="solver_nod" localSheetId="10" hidden="1">2147483647</definedName>
    <definedName name="solver_num" localSheetId="11" hidden="1">4</definedName>
    <definedName name="solver_num" localSheetId="12" hidden="1">3</definedName>
    <definedName name="solver_num" localSheetId="8" hidden="1">14</definedName>
    <definedName name="solver_num" localSheetId="10" hidden="1">12</definedName>
    <definedName name="solver_nwt" localSheetId="11" hidden="1">1</definedName>
    <definedName name="solver_nwt" localSheetId="12" hidden="1">1</definedName>
    <definedName name="solver_nwt" localSheetId="8" hidden="1">1</definedName>
    <definedName name="solver_nwt" localSheetId="10" hidden="1">1</definedName>
    <definedName name="solver_opt" localSheetId="11" hidden="1">'Задача 1'!$O$96</definedName>
    <definedName name="solver_opt" localSheetId="12" hidden="1">'Задача 2'!$S$37</definedName>
    <definedName name="solver_opt" localSheetId="8" hidden="1">'ЛР6 Задача 1'!$L$126</definedName>
    <definedName name="solver_opt" localSheetId="10" hidden="1">'ЛР6 Задача 2'!$L$82</definedName>
    <definedName name="solver_pre" localSheetId="11" hidden="1">0.000001</definedName>
    <definedName name="solver_pre" localSheetId="12" hidden="1">0.000001</definedName>
    <definedName name="solver_pre" localSheetId="8" hidden="1">0.000001</definedName>
    <definedName name="solver_pre" localSheetId="10" hidden="1">0.000001</definedName>
    <definedName name="solver_rbv" localSheetId="11" hidden="1">2</definedName>
    <definedName name="solver_rbv" localSheetId="12" hidden="1">1</definedName>
    <definedName name="solver_rbv" localSheetId="8" hidden="1">1</definedName>
    <definedName name="solver_rbv" localSheetId="10" hidden="1">1</definedName>
    <definedName name="solver_rel0" localSheetId="11" hidden="1">3</definedName>
    <definedName name="solver_rel1" localSheetId="11" hidden="1">3</definedName>
    <definedName name="solver_rel1" localSheetId="12" hidden="1">3</definedName>
    <definedName name="solver_rel1" localSheetId="8" hidden="1">2</definedName>
    <definedName name="solver_rel1" localSheetId="10" hidden="1">3</definedName>
    <definedName name="solver_rel10" localSheetId="8" hidden="1">1</definedName>
    <definedName name="solver_rel10" localSheetId="10" hidden="1">2</definedName>
    <definedName name="solver_rel11" localSheetId="8" hidden="1">1</definedName>
    <definedName name="solver_rel11" localSheetId="10" hidden="1">3</definedName>
    <definedName name="solver_rel12" localSheetId="8" hidden="1">3</definedName>
    <definedName name="solver_rel12" localSheetId="10" hidden="1">1</definedName>
    <definedName name="solver_rel13" localSheetId="8" hidden="1">2</definedName>
    <definedName name="solver_rel13" localSheetId="10" hidden="1">1</definedName>
    <definedName name="solver_rel14" localSheetId="8" hidden="1">3</definedName>
    <definedName name="solver_rel2" localSheetId="11" hidden="1">2</definedName>
    <definedName name="solver_rel2" localSheetId="12" hidden="1">2</definedName>
    <definedName name="solver_rel2" localSheetId="8" hidden="1">3</definedName>
    <definedName name="solver_rel2" localSheetId="10" hidden="1">3</definedName>
    <definedName name="solver_rel3" localSheetId="11" hidden="1">1</definedName>
    <definedName name="solver_rel3" localSheetId="12" hidden="1">2</definedName>
    <definedName name="solver_rel3" localSheetId="8" hidden="1">3</definedName>
    <definedName name="solver_rel3" localSheetId="10" hidden="1">3</definedName>
    <definedName name="solver_rel4" localSheetId="11" hidden="1">2</definedName>
    <definedName name="solver_rel4" localSheetId="8" hidden="1">3</definedName>
    <definedName name="solver_rel4" localSheetId="10" hidden="1">3</definedName>
    <definedName name="solver_rel5" localSheetId="11" hidden="1">3</definedName>
    <definedName name="solver_rel5" localSheetId="8" hidden="1">3</definedName>
    <definedName name="solver_rel5" localSheetId="10" hidden="1">3</definedName>
    <definedName name="solver_rel6" localSheetId="8" hidden="1">3</definedName>
    <definedName name="solver_rel6" localSheetId="10" hidden="1">2</definedName>
    <definedName name="solver_rel7" localSheetId="8" hidden="1">3</definedName>
    <definedName name="solver_rel7" localSheetId="10" hidden="1">3</definedName>
    <definedName name="solver_rel8" localSheetId="8" hidden="1">3</definedName>
    <definedName name="solver_rel8" localSheetId="10" hidden="1">3</definedName>
    <definedName name="solver_rel9" localSheetId="8" hidden="1">1</definedName>
    <definedName name="solver_rel9" localSheetId="10" hidden="1">3</definedName>
    <definedName name="solver_rhs0" localSheetId="11" hidden="1">0</definedName>
    <definedName name="solver_rhs1" localSheetId="11" hidden="1">0</definedName>
    <definedName name="solver_rhs1" localSheetId="12" hidden="1">0</definedName>
    <definedName name="solver_rhs1" localSheetId="8" hidden="1">0</definedName>
    <definedName name="solver_rhs1" localSheetId="10" hidden="1">'ЛР6 Задача 2'!$F$70</definedName>
    <definedName name="solver_rhs10" localSheetId="8" hidden="1">'ЛР6 Задача 1'!$C$122</definedName>
    <definedName name="solver_rhs10" localSheetId="10" hidden="1">'ЛР6 Задача 2'!$M$70:$M$77</definedName>
    <definedName name="solver_rhs11" localSheetId="8" hidden="1">'ЛР6 Задача 1'!$C$123</definedName>
    <definedName name="solver_rhs11" localSheetId="10" hidden="1">'ЛР6 Задача 2'!$J$70:$J$77</definedName>
    <definedName name="solver_rhs12" localSheetId="8" hidden="1">0</definedName>
    <definedName name="solver_rhs12" localSheetId="10" hidden="1">33</definedName>
    <definedName name="solver_rhs13" localSheetId="8" hidden="1">'ЛР6 Задача 1'!$M$114:$M$123</definedName>
    <definedName name="solver_rhs13" localSheetId="10" hidden="1">33</definedName>
    <definedName name="solver_rhs14" localSheetId="8" hidden="1">'ЛР6 Задача 1'!$J$114:$J$123</definedName>
    <definedName name="solver_rhs2" localSheetId="11" hidden="1">'Задача 1'!$O$94:$R$94</definedName>
    <definedName name="solver_rhs2" localSheetId="12" hidden="1">'Задача 2'!$M$37:$Q$37</definedName>
    <definedName name="solver_rhs2" localSheetId="8" hidden="1">'ЛР6 Задача 1'!$F$114</definedName>
    <definedName name="solver_rhs2" localSheetId="10" hidden="1">'ЛР6 Задача 2'!$F$71</definedName>
    <definedName name="solver_rhs3" localSheetId="11" hidden="1">100</definedName>
    <definedName name="solver_rhs3" localSheetId="12" hidden="1">'Задача 2'!$S$30:$S$35</definedName>
    <definedName name="solver_rhs3" localSheetId="8" hidden="1">'ЛР6 Задача 1'!$F$115</definedName>
    <definedName name="solver_rhs3" localSheetId="10" hidden="1">'ЛР6 Задача 2'!$F$73</definedName>
    <definedName name="solver_rhs4" localSheetId="11" hidden="1">'Задача 1'!$T$88:$T$92</definedName>
    <definedName name="solver_rhs4" localSheetId="8" hidden="1">'ЛР6 Задача 1'!$F$116</definedName>
    <definedName name="solver_rhs4" localSheetId="10" hidden="1">'ЛР6 Задача 2'!$F$72</definedName>
    <definedName name="solver_rhs5" localSheetId="11" hidden="1">100</definedName>
    <definedName name="solver_rhs5" localSheetId="8" hidden="1">'ЛР6 Задача 1'!$F$117</definedName>
    <definedName name="solver_rhs5" localSheetId="10" hidden="1">'ЛР6 Задача 2'!$F$74</definedName>
    <definedName name="solver_rhs6" localSheetId="8" hidden="1">'ЛР6 Задача 1'!$F$119</definedName>
    <definedName name="solver_rhs6" localSheetId="10" hidden="1">'ЛР6 Задача 2'!$F$77</definedName>
    <definedName name="solver_rhs7" localSheetId="8" hidden="1">'ЛР6 Задача 1'!$F$118</definedName>
    <definedName name="solver_rhs7" localSheetId="10" hidden="1">'ЛР6 Задача 2'!$F$75</definedName>
    <definedName name="solver_rhs8" localSheetId="8" hidden="1">'ЛР6 Задача 1'!$F$121</definedName>
    <definedName name="solver_rhs8" localSheetId="10" hidden="1">'ЛР6 Задача 2'!$F$76</definedName>
    <definedName name="solver_rhs9" localSheetId="8" hidden="1">'ЛР6 Задача 1'!$C$120</definedName>
    <definedName name="solver_rhs9" localSheetId="10" hidden="1">0</definedName>
    <definedName name="solver_rlx" localSheetId="11" hidden="1">2</definedName>
    <definedName name="solver_rlx" localSheetId="12" hidden="1">2</definedName>
    <definedName name="solver_rlx" localSheetId="8" hidden="1">2</definedName>
    <definedName name="solver_rlx" localSheetId="10" hidden="1">2</definedName>
    <definedName name="solver_rsd" localSheetId="11" hidden="1">0</definedName>
    <definedName name="solver_rsd" localSheetId="12" hidden="1">0</definedName>
    <definedName name="solver_rsd" localSheetId="8" hidden="1">0</definedName>
    <definedName name="solver_rsd" localSheetId="10" hidden="1">0</definedName>
    <definedName name="solver_scl" localSheetId="11" hidden="1">2</definedName>
    <definedName name="solver_scl" localSheetId="12" hidden="1">1</definedName>
    <definedName name="solver_scl" localSheetId="8" hidden="1">1</definedName>
    <definedName name="solver_scl" localSheetId="10" hidden="1">1</definedName>
    <definedName name="solver_sho" localSheetId="2" hidden="1">2</definedName>
    <definedName name="solver_sho" localSheetId="5" hidden="1">2</definedName>
    <definedName name="solver_sho" localSheetId="11" hidden="1">2</definedName>
    <definedName name="solver_sho" localSheetId="12" hidden="1">2</definedName>
    <definedName name="solver_sho" localSheetId="8" hidden="1">2</definedName>
    <definedName name="solver_sho" localSheetId="10" hidden="1">2</definedName>
    <definedName name="solver_ssz" localSheetId="11" hidden="1">100</definedName>
    <definedName name="solver_ssz" localSheetId="12" hidden="1">100</definedName>
    <definedName name="solver_ssz" localSheetId="8" hidden="1">100</definedName>
    <definedName name="solver_ssz" localSheetId="10" hidden="1">100</definedName>
    <definedName name="solver_tim" localSheetId="11" hidden="1">2147483647</definedName>
    <definedName name="solver_tim" localSheetId="12" hidden="1">2147483647</definedName>
    <definedName name="solver_tim" localSheetId="8" hidden="1">2147483647</definedName>
    <definedName name="solver_tim" localSheetId="10" hidden="1">2147483647</definedName>
    <definedName name="solver_tol" localSheetId="11" hidden="1">0.01</definedName>
    <definedName name="solver_tol" localSheetId="12" hidden="1">0.01</definedName>
    <definedName name="solver_tol" localSheetId="8" hidden="1">0.01</definedName>
    <definedName name="solver_tol" localSheetId="10" hidden="1">0.01</definedName>
    <definedName name="solver_typ" localSheetId="11" hidden="1">2</definedName>
    <definedName name="solver_typ" localSheetId="12" hidden="1">2</definedName>
    <definedName name="solver_typ" localSheetId="8" hidden="1">2</definedName>
    <definedName name="solver_typ" localSheetId="10" hidden="1">2</definedName>
    <definedName name="solver_val" localSheetId="11" hidden="1">0</definedName>
    <definedName name="solver_val" localSheetId="12" hidden="1">0</definedName>
    <definedName name="solver_val" localSheetId="8" hidden="1">0</definedName>
    <definedName name="solver_val" localSheetId="10" hidden="1">0</definedName>
    <definedName name="solver_ver" localSheetId="11" hidden="1">3</definedName>
    <definedName name="solver_ver" localSheetId="12" hidden="1">3</definedName>
    <definedName name="solver_ver" localSheetId="8" hidden="1">3</definedName>
    <definedName name="solver_ver" localSheetId="1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1" i="13" l="1"/>
  <c r="H72" i="13"/>
  <c r="H73" i="13"/>
  <c r="H74" i="13"/>
  <c r="H75" i="13"/>
  <c r="H76" i="13"/>
  <c r="H77" i="13"/>
  <c r="H70" i="13"/>
  <c r="L80" i="13"/>
  <c r="M70" i="13"/>
  <c r="L82" i="13"/>
  <c r="M77" i="13"/>
  <c r="M76" i="13"/>
  <c r="M75" i="13"/>
  <c r="M74" i="13"/>
  <c r="M73" i="13"/>
  <c r="M72" i="13"/>
  <c r="M71" i="13"/>
  <c r="F159" i="9"/>
  <c r="F157" i="9"/>
  <c r="F156" i="9"/>
  <c r="F154" i="9"/>
  <c r="F152" i="9"/>
  <c r="F151" i="9"/>
  <c r="F160" i="9"/>
  <c r="F158" i="9"/>
  <c r="F155" i="9"/>
  <c r="F153" i="9"/>
  <c r="H139" i="9"/>
  <c r="G139" i="9"/>
  <c r="E139" i="9"/>
  <c r="E140" i="9"/>
  <c r="E141" i="9"/>
  <c r="E142" i="9"/>
  <c r="E143" i="9"/>
  <c r="E144" i="9"/>
  <c r="M123" i="9"/>
  <c r="M122" i="9"/>
  <c r="M121" i="9"/>
  <c r="M120" i="9"/>
  <c r="M119" i="9"/>
  <c r="M118" i="9"/>
  <c r="M117" i="9"/>
  <c r="M116" i="9"/>
  <c r="M115" i="9"/>
  <c r="K148" i="9"/>
  <c r="K147" i="9"/>
  <c r="K146" i="9"/>
  <c r="K145" i="9"/>
  <c r="I144" i="9"/>
  <c r="I142" i="9"/>
  <c r="J139" i="9"/>
  <c r="J148" i="9"/>
  <c r="I148" i="9"/>
  <c r="H148" i="9"/>
  <c r="G148" i="9"/>
  <c r="E148" i="9"/>
  <c r="J146" i="9"/>
  <c r="I146" i="9"/>
  <c r="H146" i="9"/>
  <c r="G146" i="9"/>
  <c r="E146" i="9"/>
  <c r="K143" i="9"/>
  <c r="J143" i="9"/>
  <c r="I143" i="9"/>
  <c r="H143" i="9"/>
  <c r="G143" i="9"/>
  <c r="K141" i="9"/>
  <c r="J141" i="9"/>
  <c r="I141" i="9"/>
  <c r="H141" i="9"/>
  <c r="G141" i="9"/>
  <c r="K140" i="9"/>
  <c r="J140" i="9"/>
  <c r="I140" i="9"/>
  <c r="H140" i="9"/>
  <c r="G140" i="9"/>
  <c r="H117" i="9"/>
  <c r="H118" i="9"/>
  <c r="H119" i="9"/>
  <c r="H120" i="9"/>
  <c r="H121" i="9"/>
  <c r="H122" i="9"/>
  <c r="H123" i="9"/>
  <c r="H116" i="9"/>
  <c r="L126" i="9"/>
  <c r="M114" i="9"/>
  <c r="H114" i="9"/>
  <c r="H115" i="9"/>
  <c r="F40" i="9"/>
  <c r="F41" i="9"/>
  <c r="F42" i="9"/>
  <c r="F43" i="9"/>
  <c r="F44" i="9"/>
  <c r="F45" i="9"/>
  <c r="F46" i="9"/>
  <c r="F47" i="9"/>
  <c r="F48" i="9"/>
  <c r="F39" i="9"/>
  <c r="K32" i="9"/>
  <c r="K31" i="9"/>
  <c r="K30" i="9"/>
  <c r="K29" i="9"/>
  <c r="K28" i="9"/>
  <c r="K27" i="9"/>
  <c r="K26" i="9"/>
  <c r="K25" i="9"/>
  <c r="K24" i="9"/>
  <c r="K23" i="9"/>
  <c r="J32" i="9"/>
  <c r="J31" i="9"/>
  <c r="J30" i="9"/>
  <c r="J29" i="9"/>
  <c r="J28" i="9"/>
  <c r="J27" i="9"/>
  <c r="J26" i="9"/>
  <c r="J25" i="9"/>
  <c r="J24" i="9"/>
  <c r="J23" i="9"/>
  <c r="I32" i="9"/>
  <c r="I31" i="9"/>
  <c r="I30" i="9"/>
  <c r="I29" i="9"/>
  <c r="I28" i="9"/>
  <c r="I27" i="9"/>
  <c r="I26" i="9"/>
  <c r="I25" i="9"/>
  <c r="I24" i="9"/>
  <c r="I23" i="9"/>
  <c r="H32" i="9"/>
  <c r="H31" i="9"/>
  <c r="H30" i="9"/>
  <c r="H29" i="9"/>
  <c r="H28" i="9"/>
  <c r="H27" i="9"/>
  <c r="H26" i="9"/>
  <c r="H25" i="9"/>
  <c r="H24" i="9"/>
  <c r="H23" i="9"/>
  <c r="E24" i="9"/>
  <c r="E25" i="9"/>
  <c r="E26" i="9"/>
  <c r="E27" i="9"/>
  <c r="E28" i="9"/>
  <c r="E29" i="9"/>
  <c r="E30" i="9"/>
  <c r="E31" i="9"/>
  <c r="E32" i="9"/>
  <c r="E23" i="9"/>
  <c r="G32" i="9"/>
  <c r="G24" i="9"/>
  <c r="G25" i="9"/>
  <c r="G26" i="9"/>
  <c r="G27" i="9"/>
  <c r="G28" i="9"/>
  <c r="G29" i="9"/>
  <c r="G30" i="9"/>
  <c r="G31" i="9"/>
  <c r="G23" i="9"/>
  <c r="K139" i="9" l="1"/>
  <c r="H144" i="9"/>
  <c r="J142" i="9"/>
  <c r="J144" i="9"/>
  <c r="K142" i="9"/>
  <c r="K144" i="9"/>
  <c r="E145" i="9"/>
  <c r="E147" i="9"/>
  <c r="G145" i="9"/>
  <c r="G147" i="9"/>
  <c r="H147" i="9"/>
  <c r="H145" i="9"/>
  <c r="I139" i="9"/>
  <c r="I145" i="9"/>
  <c r="I147" i="9"/>
  <c r="J145" i="9"/>
  <c r="J147" i="9"/>
  <c r="G142" i="9"/>
  <c r="G144" i="9"/>
  <c r="H142" i="9"/>
  <c r="S37" i="8" l="1"/>
  <c r="Q36" i="8"/>
  <c r="N36" i="8"/>
  <c r="O36" i="8"/>
  <c r="P36" i="8"/>
  <c r="M36" i="8"/>
  <c r="R35" i="8"/>
  <c r="R31" i="8"/>
  <c r="R32" i="8"/>
  <c r="R33" i="8"/>
  <c r="R34" i="8"/>
  <c r="R30" i="8"/>
  <c r="O96" i="1"/>
  <c r="R93" i="1"/>
  <c r="Q93" i="1"/>
  <c r="P93" i="1"/>
  <c r="O93" i="1"/>
  <c r="S92" i="1"/>
  <c r="S91" i="1"/>
  <c r="S90" i="1"/>
  <c r="S89" i="1"/>
  <c r="S88" i="1"/>
  <c r="D96" i="1"/>
  <c r="E93" i="1"/>
  <c r="D93" i="1"/>
  <c r="H92" i="1"/>
  <c r="H91" i="1"/>
  <c r="H88" i="1"/>
  <c r="G93" i="1"/>
  <c r="F93" i="1"/>
  <c r="H90" i="1"/>
  <c r="H89" i="1"/>
</calcChain>
</file>

<file path=xl/sharedStrings.xml><?xml version="1.0" encoding="utf-8"?>
<sst xmlns="http://schemas.openxmlformats.org/spreadsheetml/2006/main" count="1529" uniqueCount="451">
  <si>
    <t>Наривончик Александр</t>
  </si>
  <si>
    <t>Вариант 22</t>
  </si>
  <si>
    <t>Задание 2</t>
  </si>
  <si>
    <t>ai\bj</t>
  </si>
  <si>
    <t>Метод минимального элемента</t>
  </si>
  <si>
    <t>1              150</t>
  </si>
  <si>
    <t>2           150</t>
  </si>
  <si>
    <t>Метод потенциалов</t>
  </si>
  <si>
    <t xml:space="preserve">Ui 
Vi       </t>
  </si>
  <si>
    <t>u2 = 0</t>
  </si>
  <si>
    <t>v1 = 6</t>
  </si>
  <si>
    <t>v3 = 8</t>
  </si>
  <si>
    <t>u1 = -2</t>
  </si>
  <si>
    <t>u5 = -8</t>
  </si>
  <si>
    <t>1               0</t>
  </si>
  <si>
    <t>4                50</t>
  </si>
  <si>
    <t>8             100</t>
  </si>
  <si>
    <t>4                  0</t>
  </si>
  <si>
    <t>4                 50</t>
  </si>
  <si>
    <t>6                0</t>
  </si>
  <si>
    <t>0                 100</t>
  </si>
  <si>
    <t>u4 = -4</t>
  </si>
  <si>
    <t>v2 = 6</t>
  </si>
  <si>
    <t>u3 = -5</t>
  </si>
  <si>
    <t>v4 = 6</t>
  </si>
  <si>
    <t>3           100</t>
  </si>
  <si>
    <t>4                  100</t>
  </si>
  <si>
    <t>2            50</t>
  </si>
  <si>
    <t>v2 = 3</t>
  </si>
  <si>
    <t>u3 = -2</t>
  </si>
  <si>
    <t>u4 = -1</t>
  </si>
  <si>
    <t>v3 = 5</t>
  </si>
  <si>
    <t>u5 = -5</t>
  </si>
  <si>
    <t>u1 = 1</t>
  </si>
  <si>
    <t>v1 = 3</t>
  </si>
  <si>
    <t>v4 = 3</t>
  </si>
  <si>
    <t>Оптимальный план</t>
  </si>
  <si>
    <t>b1</t>
  </si>
  <si>
    <t>b2</t>
  </si>
  <si>
    <t>b3</t>
  </si>
  <si>
    <t>b4</t>
  </si>
  <si>
    <t>a1</t>
  </si>
  <si>
    <t>a2</t>
  </si>
  <si>
    <t>a3</t>
  </si>
  <si>
    <t>a4</t>
  </si>
  <si>
    <t>a5</t>
  </si>
  <si>
    <t>Σ(ai)</t>
  </si>
  <si>
    <t>Σ(bi)</t>
  </si>
  <si>
    <t>Спрос</t>
  </si>
  <si>
    <t>Z(X)</t>
  </si>
  <si>
    <t>Решение на компьютере</t>
  </si>
  <si>
    <t>Предложение</t>
  </si>
  <si>
    <t>Microsoft Excel 16.0 Answer Report</t>
  </si>
  <si>
    <t>Worksheet: [ЛР3.xlsx]Sheet1</t>
  </si>
  <si>
    <t>Report Created: 31.10.2025 20:50:25</t>
  </si>
  <si>
    <t>Result: Solver found a solution.  All Constraints and optimality conditions are satisfied.</t>
  </si>
  <si>
    <t>Solver Engine</t>
  </si>
  <si>
    <t>Engine: GRG Nonlinear</t>
  </si>
  <si>
    <t>Solution Time: 0,437 Seconds.</t>
  </si>
  <si>
    <t>Iterations: 22 Subproblems: 0</t>
  </si>
  <si>
    <t>Solver Options</t>
  </si>
  <si>
    <t>Max Time Unlimited,  Iterations Unlimited, Precision 0,000001</t>
  </si>
  <si>
    <t xml:space="preserve"> Convergence 0,0001, Population Size 100, Random Seed 0, Derivatives Central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</si>
  <si>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</si>
  <si>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</si>
  <si>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</si>
  <si>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</si>
  <si>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</si>
  <si>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</si>
  <si>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</si>
  <si>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</si>
  <si>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</si>
  <si>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</si>
  <si>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</si>
  <si>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</si>
  <si>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</si>
  <si>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$D$98</t>
  </si>
  <si>
    <t>Z(X) b1</t>
  </si>
  <si>
    <t>$D$88</t>
  </si>
  <si>
    <t>a1 b1</t>
  </si>
  <si>
    <t>Contin</t>
  </si>
  <si>
    <t>$E$88</t>
  </si>
  <si>
    <t>a1 b2</t>
  </si>
  <si>
    <t>$F$88</t>
  </si>
  <si>
    <t>a1 b3</t>
  </si>
  <si>
    <t>$G$88</t>
  </si>
  <si>
    <t>a1 b4</t>
  </si>
  <si>
    <t>$D$89</t>
  </si>
  <si>
    <t>a2 b1</t>
  </si>
  <si>
    <t>$E$89</t>
  </si>
  <si>
    <t>a2 b2</t>
  </si>
  <si>
    <t>$F$89</t>
  </si>
  <si>
    <t>a2 b3</t>
  </si>
  <si>
    <t>$G$89</t>
  </si>
  <si>
    <t>a2 b4</t>
  </si>
  <si>
    <t>$D$90</t>
  </si>
  <si>
    <t>a3 b1</t>
  </si>
  <si>
    <t>$E$90</t>
  </si>
  <si>
    <t>a3 b2</t>
  </si>
  <si>
    <t>$F$90</t>
  </si>
  <si>
    <t>a3 b3</t>
  </si>
  <si>
    <t>$G$90</t>
  </si>
  <si>
    <t>a3 b4</t>
  </si>
  <si>
    <t>$D$91</t>
  </si>
  <si>
    <t>a4 b1</t>
  </si>
  <si>
    <t>$E$91</t>
  </si>
  <si>
    <t>a4 b2</t>
  </si>
  <si>
    <t>$F$91</t>
  </si>
  <si>
    <t>a4 b3</t>
  </si>
  <si>
    <t>$G$91</t>
  </si>
  <si>
    <t>a4 b4</t>
  </si>
  <si>
    <t>$D$92</t>
  </si>
  <si>
    <t>a5 b1</t>
  </si>
  <si>
    <t>$E$92</t>
  </si>
  <si>
    <t>a5 b2</t>
  </si>
  <si>
    <t>$F$92</t>
  </si>
  <si>
    <t>a5 b3</t>
  </si>
  <si>
    <t>$G$92</t>
  </si>
  <si>
    <t>a5 b4</t>
  </si>
  <si>
    <t>$D$93</t>
  </si>
  <si>
    <t>Σ(bi) b1</t>
  </si>
  <si>
    <t>$D$93=$D$94</t>
  </si>
  <si>
    <t>Binding</t>
  </si>
  <si>
    <t>$E$93</t>
  </si>
  <si>
    <t>Σ(bi) b2</t>
  </si>
  <si>
    <t>$E$93=$E$94</t>
  </si>
  <si>
    <t>$F$93</t>
  </si>
  <si>
    <t>Σ(bi) b3</t>
  </si>
  <si>
    <t>$F$93=$F$94</t>
  </si>
  <si>
    <t>$G$93</t>
  </si>
  <si>
    <t>Σ(bi) b4</t>
  </si>
  <si>
    <t>$G$93=$G$94</t>
  </si>
  <si>
    <t>$H$88</t>
  </si>
  <si>
    <t>a1 Σ(ai)</t>
  </si>
  <si>
    <t>$H$88=$I$88</t>
  </si>
  <si>
    <t>$H$89</t>
  </si>
  <si>
    <t>a2 Σ(ai)</t>
  </si>
  <si>
    <t>$H$89=$I$89</t>
  </si>
  <si>
    <t>$H$90</t>
  </si>
  <si>
    <t>a3 Σ(ai)</t>
  </si>
  <si>
    <t>$H$90=$I$90</t>
  </si>
  <si>
    <t>$H$91</t>
  </si>
  <si>
    <t>a4 Σ(ai)</t>
  </si>
  <si>
    <t>$H$91=$I$91</t>
  </si>
  <si>
    <t>$H$92</t>
  </si>
  <si>
    <t>a5 Σ(ai)</t>
  </si>
  <si>
    <t>$H$92=$I$92</t>
  </si>
  <si>
    <t>$D$88&gt;=0</t>
  </si>
  <si>
    <t>Not Binding</t>
  </si>
  <si>
    <t>$E$88&gt;=0</t>
  </si>
  <si>
    <t>$F$88&gt;=0</t>
  </si>
  <si>
    <t>$G$88&gt;=0</t>
  </si>
  <si>
    <t>$D$89&gt;=0</t>
  </si>
  <si>
    <t>$E$89&gt;=0</t>
  </si>
  <si>
    <t>$F$89&gt;=0</t>
  </si>
  <si>
    <t>$G$89&gt;=0</t>
  </si>
  <si>
    <t>$D$90&gt;=0</t>
  </si>
  <si>
    <t>$E$90&gt;=0</t>
  </si>
  <si>
    <t>$F$90&gt;=0</t>
  </si>
  <si>
    <t>$G$90&gt;=0</t>
  </si>
  <si>
    <t>$D$91&gt;=0</t>
  </si>
  <si>
    <t>$E$91&gt;=0</t>
  </si>
  <si>
    <t>$F$91&gt;=0</t>
  </si>
  <si>
    <t>$G$91&gt;=0</t>
  </si>
  <si>
    <t>$D$92&gt;=0</t>
  </si>
  <si>
    <t>$E$92&gt;=0</t>
  </si>
  <si>
    <t>$F$92&gt;=0</t>
  </si>
  <si>
    <t>$G$92&gt;=0</t>
  </si>
  <si>
    <t>Microsoft Excel 16.0 Sensitivity Report</t>
  </si>
  <si>
    <t>Report Created: 31.10.2025 20:50:26</t>
  </si>
  <si>
    <t>Final</t>
  </si>
  <si>
    <t>Value</t>
  </si>
  <si>
    <t>Reduced</t>
  </si>
  <si>
    <t>Gradient</t>
  </si>
  <si>
    <t>Lagrange</t>
  </si>
  <si>
    <t>Multiplier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</si>
  <si>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</si>
  <si>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</si>
  <si>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</si>
  <si>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</si>
  <si>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</si>
  <si>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</si>
  <si>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</si>
  <si>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Report Created: 31.10.2025 20:55:36</t>
  </si>
  <si>
    <t>Engine: Simplex LP</t>
  </si>
  <si>
    <t>Solution Time: 0,031 Seconds.</t>
  </si>
  <si>
    <t>Iterations: 15 Subproblems: 0</t>
  </si>
  <si>
    <t>Report Created: 31.10.2025 20:55:37</t>
  </si>
  <si>
    <t>Cost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</si>
  <si>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</si>
  <si>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</si>
  <si>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</si>
  <si>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</si>
  <si>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</si>
  <si>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</si>
  <si>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</si>
  <si>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</si>
  <si>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Задание 3</t>
  </si>
  <si>
    <t>М</t>
  </si>
  <si>
    <t>1          150</t>
  </si>
  <si>
    <t>1              0</t>
  </si>
  <si>
    <t>2                   50</t>
  </si>
  <si>
    <t>3               50</t>
  </si>
  <si>
    <t>3                         50</t>
  </si>
  <si>
    <t>5               0</t>
  </si>
  <si>
    <t>6                   0</t>
  </si>
  <si>
    <t>0                         100</t>
  </si>
  <si>
    <t>Расчет потенциалов</t>
  </si>
  <si>
    <t>u1 = 0</t>
  </si>
  <si>
    <t>v1 =  4</t>
  </si>
  <si>
    <t>v2 = 5</t>
  </si>
  <si>
    <t>u2 = -2</t>
  </si>
  <si>
    <t>u3 = -4</t>
  </si>
  <si>
    <t>u4 = -3</t>
  </si>
  <si>
    <t>u5 = -6</t>
  </si>
  <si>
    <t>v5 =5</t>
  </si>
  <si>
    <t>v5 = 5</t>
  </si>
  <si>
    <t>d1</t>
  </si>
  <si>
    <t>d2</t>
  </si>
  <si>
    <t>d3</t>
  </si>
  <si>
    <t xml:space="preserve"> </t>
  </si>
  <si>
    <t>Поставщики-базы (тарифы)</t>
  </si>
  <si>
    <t>Базы-Потребители (тарифы)</t>
  </si>
  <si>
    <t>Матрица тарифов</t>
  </si>
  <si>
    <t>Решение</t>
  </si>
  <si>
    <t>S</t>
  </si>
  <si>
    <t xml:space="preserve">Поставщики-базы </t>
  </si>
  <si>
    <t>14 / 350</t>
  </si>
  <si>
    <t>16 / 240</t>
  </si>
  <si>
    <t>18 / 10</t>
  </si>
  <si>
    <t>22 / 30</t>
  </si>
  <si>
    <t>23 / 120</t>
  </si>
  <si>
    <t>0 / 300</t>
  </si>
  <si>
    <t>Vi         Ui</t>
  </si>
  <si>
    <t>v3 = 23</t>
  </si>
  <si>
    <t>v1 = 18</t>
  </si>
  <si>
    <t>u3 = -1</t>
  </si>
  <si>
    <t>v2 = 15</t>
  </si>
  <si>
    <t>u4 = -23</t>
  </si>
  <si>
    <t>Базы-Потребители</t>
  </si>
  <si>
    <t>10 / 350</t>
  </si>
  <si>
    <t>12 / 50</t>
  </si>
  <si>
    <t>16 / 250</t>
  </si>
  <si>
    <t>18 / 100</t>
  </si>
  <si>
    <t>v1 = 16</t>
  </si>
  <si>
    <t>u3 = 2</t>
  </si>
  <si>
    <t>v2 = 10</t>
  </si>
  <si>
    <t>Worksheet: [ЛР4 В22 Наривончик 351004.xlsx]Sheet1</t>
  </si>
  <si>
    <t>Report Created: 01.11.2025 20:36:57</t>
  </si>
  <si>
    <t>$I$24</t>
  </si>
  <si>
    <t>A1 X</t>
  </si>
  <si>
    <t>$I$25</t>
  </si>
  <si>
    <t>A2 X</t>
  </si>
  <si>
    <t>$I$26</t>
  </si>
  <si>
    <t>A3 X</t>
  </si>
  <si>
    <t>$I$27</t>
  </si>
  <si>
    <t>A4 X</t>
  </si>
  <si>
    <t>$J$24</t>
  </si>
  <si>
    <t>A1 Сумма Aij*Xj</t>
  </si>
  <si>
    <t>$J$25</t>
  </si>
  <si>
    <t>A2 Сумма Aij*Xj</t>
  </si>
  <si>
    <t>$J$26</t>
  </si>
  <si>
    <t>A3 Сумма Aij*Xj</t>
  </si>
  <si>
    <t>$J$27</t>
  </si>
  <si>
    <t>A4 Сумма Aij*Xj</t>
  </si>
  <si>
    <t>Задание 4</t>
  </si>
  <si>
    <t>Worksheet: [ЛР5 В22 Наривончик 351004.xlsx]Sheet1</t>
  </si>
  <si>
    <t>Report Created: 02.11.2025 19:01:01</t>
  </si>
  <si>
    <t>$S$22</t>
  </si>
  <si>
    <t>$S$23</t>
  </si>
  <si>
    <t>$S$24</t>
  </si>
  <si>
    <t>$S$25</t>
  </si>
  <si>
    <t>$T$22</t>
  </si>
  <si>
    <t>$T$23</t>
  </si>
  <si>
    <t>$T$24</t>
  </si>
  <si>
    <t>$T$25</t>
  </si>
  <si>
    <t>Задание 1</t>
  </si>
  <si>
    <t>Номер
задачи</t>
  </si>
  <si>
    <t>Параметры</t>
  </si>
  <si>
    <t>Работы</t>
  </si>
  <si>
    <t>Сумма средств</t>
  </si>
  <si>
    <t>tij</t>
  </si>
  <si>
    <t>dij</t>
  </si>
  <si>
    <t>kij</t>
  </si>
  <si>
    <t>Срок выполнения проекта</t>
  </si>
  <si>
    <t>Событие</t>
  </si>
  <si>
    <t>Ранний срок свершения события</t>
  </si>
  <si>
    <t>Поздний срок свершения события</t>
  </si>
  <si>
    <t>(i, j)</t>
  </si>
  <si>
    <r>
      <t>t</t>
    </r>
    <r>
      <rPr>
        <vertAlign val="subscript"/>
        <sz val="11"/>
        <color rgb="FF000000"/>
        <rFont val="Times New Roman"/>
        <family val="1"/>
      </rPr>
      <t>по</t>
    </r>
  </si>
  <si>
    <r>
      <t>t</t>
    </r>
    <r>
      <rPr>
        <vertAlign val="subscript"/>
        <sz val="11"/>
        <color rgb="FF000000"/>
        <rFont val="Times New Roman"/>
        <family val="1"/>
      </rPr>
      <t>пн</t>
    </r>
  </si>
  <si>
    <r>
      <t>R</t>
    </r>
    <r>
      <rPr>
        <vertAlign val="subscript"/>
        <sz val="11"/>
        <color rgb="FF000000"/>
        <rFont val="Times New Roman"/>
        <family val="1"/>
      </rPr>
      <t>п</t>
    </r>
  </si>
  <si>
    <r>
      <t>R</t>
    </r>
    <r>
      <rPr>
        <vertAlign val="subscript"/>
        <sz val="11"/>
        <color rgb="FF000000"/>
        <rFont val="Times New Roman"/>
        <family val="1"/>
      </rPr>
      <t>св</t>
    </r>
  </si>
  <si>
    <r>
      <t>R</t>
    </r>
    <r>
      <rPr>
        <vertAlign val="superscript"/>
        <sz val="11"/>
        <color rgb="FF000000"/>
        <rFont val="Times New Roman"/>
        <family val="1"/>
      </rPr>
      <t>’</t>
    </r>
  </si>
  <si>
    <r>
      <t>R</t>
    </r>
    <r>
      <rPr>
        <vertAlign val="superscript"/>
        <sz val="11"/>
        <color rgb="FF000000"/>
        <rFont val="Times New Roman"/>
        <family val="1"/>
      </rPr>
      <t>”</t>
    </r>
  </si>
  <si>
    <t>(1, 2)</t>
  </si>
  <si>
    <t>(1, 3)</t>
  </si>
  <si>
    <t>(1, 4)</t>
  </si>
  <si>
    <t>(2, 4)</t>
  </si>
  <si>
    <t>(2, 5)</t>
  </si>
  <si>
    <t>(3, 4)</t>
  </si>
  <si>
    <t>(3, 6)</t>
  </si>
  <si>
    <t>(4, 5)</t>
  </si>
  <si>
    <t>(4, 6)</t>
  </si>
  <si>
    <t>(5, 6)</t>
  </si>
  <si>
    <r>
      <t>t</t>
    </r>
    <r>
      <rPr>
        <vertAlign val="subscript"/>
        <sz val="11"/>
        <color rgb="FF000000"/>
        <rFont val="Times New Roman"/>
        <family val="1"/>
      </rPr>
      <t>рн</t>
    </r>
  </si>
  <si>
    <r>
      <t>t</t>
    </r>
    <r>
      <rPr>
        <vertAlign val="subscript"/>
        <sz val="11"/>
        <color rgb="FF000000"/>
        <rFont val="Times New Roman"/>
        <family val="1"/>
      </rPr>
      <t>ро</t>
    </r>
  </si>
  <si>
    <r>
      <t>t</t>
    </r>
    <r>
      <rPr>
        <vertAlign val="subscript"/>
        <sz val="11"/>
        <color rgb="FF000000"/>
        <rFont val="Times New Roman"/>
        <family val="1"/>
      </rPr>
      <t>ij</t>
    </r>
  </si>
  <si>
    <t>Кр. Путь / Есть резерв</t>
  </si>
  <si>
    <t>Целевая функция</t>
  </si>
  <si>
    <t>f = X12 + X13 + X14 + X24 + X25 +X34 + X36 + X45 + X46 + X56 —&gt; min</t>
  </si>
  <si>
    <t xml:space="preserve">Ограничения </t>
  </si>
  <si>
    <t>Зависимость продолжительности работ от вложенных средств</t>
  </si>
  <si>
    <t>Время начала выполнения каждой работы</t>
  </si>
  <si>
    <t>Решение с помошью поиска решений</t>
  </si>
  <si>
    <t>tн</t>
  </si>
  <si>
    <t>tо</t>
  </si>
  <si>
    <t>xij</t>
  </si>
  <si>
    <t>&gt;=</t>
  </si>
  <si>
    <t>old tij</t>
  </si>
  <si>
    <t>new tij</t>
  </si>
  <si>
    <t>Ограничения задачи</t>
  </si>
  <si>
    <t xml:space="preserve">Продолжительность выполнения каждой работы </t>
  </si>
  <si>
    <r>
      <t xml:space="preserve"> t</t>
    </r>
    <r>
      <rPr>
        <vertAlign val="superscript"/>
        <sz val="12"/>
        <color theme="1"/>
        <rFont val="Times New Roman"/>
        <family val="1"/>
        <charset val="204"/>
      </rPr>
      <t>o</t>
    </r>
    <r>
      <rPr>
        <vertAlign val="subscript"/>
        <sz val="12"/>
        <color theme="1"/>
        <rFont val="Times New Roman"/>
        <family val="1"/>
        <charset val="204"/>
      </rPr>
      <t xml:space="preserve">56 </t>
    </r>
    <r>
      <rPr>
        <sz val="12"/>
        <color theme="1"/>
        <rFont val="Times New Roman"/>
        <family val="1"/>
        <charset val="204"/>
      </rPr>
      <t>– t</t>
    </r>
    <r>
      <rPr>
        <vertAlign val="superscript"/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 xml:space="preserve">56 </t>
    </r>
    <r>
      <rPr>
        <sz val="12"/>
        <color theme="1"/>
        <rFont val="Times New Roman"/>
        <family val="1"/>
        <charset val="204"/>
      </rPr>
      <t>= 0;</t>
    </r>
  </si>
  <si>
    <t xml:space="preserve">Время начала выполнения каждой работы </t>
  </si>
  <si>
    <t>Условие неотрицательности элементов</t>
  </si>
  <si>
    <t>Математическая модель</t>
  </si>
  <si>
    <t xml:space="preserve">Целевая функция имеет вид: tкр = tо56 —&gt; min </t>
  </si>
  <si>
    <r>
      <t>x</t>
    </r>
    <r>
      <rPr>
        <vertAlign val="subscript"/>
        <sz val="12"/>
        <color theme="1"/>
        <rFont val="Times New Roman"/>
        <family val="1"/>
        <charset val="204"/>
      </rPr>
      <t>12</t>
    </r>
    <r>
      <rPr>
        <sz val="12"/>
        <color theme="1"/>
        <rFont val="Times New Roman"/>
        <family val="1"/>
        <charset val="204"/>
      </rPr>
      <t xml:space="preserve"> + x</t>
    </r>
    <r>
      <rPr>
        <vertAlign val="subscript"/>
        <sz val="12"/>
        <color theme="1"/>
        <rFont val="Times New Roman"/>
        <family val="1"/>
        <charset val="204"/>
      </rPr>
      <t>13</t>
    </r>
    <r>
      <rPr>
        <sz val="12"/>
        <color theme="1"/>
        <rFont val="Times New Roman"/>
        <family val="1"/>
        <charset val="204"/>
      </rPr>
      <t xml:space="preserve"> + x</t>
    </r>
    <r>
      <rPr>
        <vertAlign val="subscript"/>
        <sz val="12"/>
        <color theme="1"/>
        <rFont val="Times New Roman"/>
        <family val="1"/>
        <charset val="204"/>
      </rPr>
      <t>14</t>
    </r>
    <r>
      <rPr>
        <sz val="12"/>
        <color theme="1"/>
        <rFont val="Times New Roman"/>
        <family val="1"/>
        <charset val="204"/>
      </rPr>
      <t xml:space="preserve"> + x</t>
    </r>
    <r>
      <rPr>
        <vertAlign val="subscript"/>
        <sz val="12"/>
        <color theme="1"/>
        <rFont val="Times New Roman"/>
        <family val="1"/>
        <charset val="204"/>
      </rPr>
      <t>23</t>
    </r>
    <r>
      <rPr>
        <sz val="12"/>
        <color theme="1"/>
        <rFont val="Times New Roman"/>
        <family val="1"/>
        <charset val="204"/>
      </rPr>
      <t xml:space="preserve"> + x</t>
    </r>
    <r>
      <rPr>
        <vertAlign val="subscript"/>
        <sz val="12"/>
        <color theme="1"/>
        <rFont val="Times New Roman"/>
        <family val="1"/>
        <charset val="204"/>
      </rPr>
      <t>34</t>
    </r>
    <r>
      <rPr>
        <sz val="12"/>
        <color theme="1"/>
        <rFont val="Times New Roman"/>
        <family val="1"/>
        <charset val="204"/>
      </rPr>
      <t xml:space="preserve"> + x</t>
    </r>
    <r>
      <rPr>
        <vertAlign val="subscript"/>
        <sz val="12"/>
        <color theme="1"/>
        <rFont val="Times New Roman"/>
        <family val="1"/>
        <charset val="204"/>
      </rPr>
      <t>35</t>
    </r>
    <r>
      <rPr>
        <sz val="12"/>
        <color theme="1"/>
        <rFont val="Times New Roman"/>
        <family val="1"/>
        <charset val="204"/>
      </rPr>
      <t xml:space="preserve"> + x</t>
    </r>
    <r>
      <rPr>
        <vertAlign val="subscript"/>
        <sz val="12"/>
        <color theme="1"/>
        <rFont val="Times New Roman"/>
        <family val="1"/>
        <charset val="204"/>
      </rPr>
      <t xml:space="preserve">45 </t>
    </r>
    <r>
      <rPr>
        <sz val="12"/>
        <color theme="1"/>
        <rFont val="Times New Roman"/>
        <family val="1"/>
        <charset val="204"/>
      </rPr>
      <t>≤ 33</t>
    </r>
  </si>
  <si>
    <r>
      <t>t</t>
    </r>
    <r>
      <rPr>
        <vertAlign val="superscript"/>
        <sz val="12"/>
        <color theme="1"/>
        <rFont val="Times New Roman"/>
        <family val="1"/>
        <charset val="204"/>
      </rPr>
      <t>o</t>
    </r>
    <r>
      <rPr>
        <vertAlign val="subscript"/>
        <sz val="12"/>
        <color theme="1"/>
        <rFont val="Times New Roman"/>
        <family val="1"/>
        <charset val="204"/>
      </rPr>
      <t xml:space="preserve">12 </t>
    </r>
    <r>
      <rPr>
        <sz val="12"/>
        <color theme="1"/>
        <rFont val="Times New Roman"/>
        <family val="1"/>
        <charset val="204"/>
      </rPr>
      <t>– t</t>
    </r>
    <r>
      <rPr>
        <vertAlign val="superscript"/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 xml:space="preserve">12 </t>
    </r>
    <r>
      <rPr>
        <sz val="12"/>
        <color theme="1"/>
        <rFont val="Times New Roman"/>
        <family val="1"/>
        <charset val="204"/>
      </rPr>
      <t>≥ 6;</t>
    </r>
  </si>
  <si>
    <r>
      <t>t</t>
    </r>
    <r>
      <rPr>
        <vertAlign val="superscript"/>
        <sz val="12"/>
        <color theme="1"/>
        <rFont val="Times New Roman"/>
        <family val="1"/>
        <charset val="204"/>
      </rPr>
      <t>o</t>
    </r>
    <r>
      <rPr>
        <vertAlign val="subscript"/>
        <sz val="12"/>
        <color theme="1"/>
        <rFont val="Times New Roman"/>
        <family val="1"/>
        <charset val="204"/>
      </rPr>
      <t xml:space="preserve">13 </t>
    </r>
    <r>
      <rPr>
        <sz val="12"/>
        <color theme="1"/>
        <rFont val="Times New Roman"/>
        <family val="1"/>
        <charset val="204"/>
      </rPr>
      <t>– t</t>
    </r>
    <r>
      <rPr>
        <vertAlign val="superscript"/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 xml:space="preserve">13 </t>
    </r>
    <r>
      <rPr>
        <sz val="12"/>
        <color theme="1"/>
        <rFont val="Times New Roman"/>
        <family val="1"/>
        <charset val="204"/>
      </rPr>
      <t>≥ 14;</t>
    </r>
  </si>
  <si>
    <r>
      <t>t</t>
    </r>
    <r>
      <rPr>
        <vertAlign val="superscript"/>
        <sz val="12"/>
        <color theme="1"/>
        <rFont val="Times New Roman"/>
        <family val="1"/>
        <charset val="204"/>
      </rPr>
      <t>o</t>
    </r>
    <r>
      <rPr>
        <vertAlign val="subscript"/>
        <sz val="12"/>
        <color theme="1"/>
        <rFont val="Times New Roman"/>
        <family val="1"/>
        <charset val="204"/>
      </rPr>
      <t xml:space="preserve">14 </t>
    </r>
    <r>
      <rPr>
        <sz val="12"/>
        <color theme="1"/>
        <rFont val="Times New Roman"/>
        <family val="1"/>
        <charset val="204"/>
      </rPr>
      <t>– t</t>
    </r>
    <r>
      <rPr>
        <vertAlign val="superscript"/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 xml:space="preserve">14 </t>
    </r>
    <r>
      <rPr>
        <sz val="12"/>
        <color theme="1"/>
        <rFont val="Times New Roman"/>
        <family val="1"/>
        <charset val="204"/>
      </rPr>
      <t xml:space="preserve">≥ 18; </t>
    </r>
  </si>
  <si>
    <r>
      <t>t</t>
    </r>
    <r>
      <rPr>
        <vertAlign val="superscript"/>
        <sz val="12"/>
        <color theme="1"/>
        <rFont val="Times New Roman"/>
        <family val="1"/>
        <charset val="204"/>
      </rPr>
      <t>o</t>
    </r>
    <r>
      <rPr>
        <vertAlign val="subscript"/>
        <sz val="12"/>
        <color theme="1"/>
        <rFont val="Times New Roman"/>
        <family val="1"/>
        <charset val="204"/>
      </rPr>
      <t xml:space="preserve">23 </t>
    </r>
    <r>
      <rPr>
        <sz val="12"/>
        <color theme="1"/>
        <rFont val="Times New Roman"/>
        <family val="1"/>
        <charset val="204"/>
      </rPr>
      <t>– t</t>
    </r>
    <r>
      <rPr>
        <vertAlign val="superscript"/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 xml:space="preserve">23 </t>
    </r>
    <r>
      <rPr>
        <sz val="12"/>
        <color theme="1"/>
        <rFont val="Times New Roman"/>
        <family val="1"/>
        <charset val="204"/>
      </rPr>
      <t xml:space="preserve">≥ 4; </t>
    </r>
  </si>
  <si>
    <r>
      <t xml:space="preserve"> t</t>
    </r>
    <r>
      <rPr>
        <vertAlign val="superscript"/>
        <sz val="12"/>
        <color theme="1"/>
        <rFont val="Times New Roman"/>
        <family val="1"/>
        <charset val="204"/>
      </rPr>
      <t>o</t>
    </r>
    <r>
      <rPr>
        <vertAlign val="subscript"/>
        <sz val="12"/>
        <color theme="1"/>
        <rFont val="Times New Roman"/>
        <family val="1"/>
        <charset val="204"/>
      </rPr>
      <t xml:space="preserve">34 </t>
    </r>
    <r>
      <rPr>
        <sz val="12"/>
        <color theme="1"/>
        <rFont val="Times New Roman"/>
        <family val="1"/>
        <charset val="204"/>
      </rPr>
      <t>– t</t>
    </r>
    <r>
      <rPr>
        <vertAlign val="superscript"/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 xml:space="preserve">34 </t>
    </r>
    <r>
      <rPr>
        <sz val="12"/>
        <color theme="1"/>
        <rFont val="Times New Roman"/>
        <family val="1"/>
        <charset val="204"/>
      </rPr>
      <t>≥ 9;</t>
    </r>
  </si>
  <si>
    <r>
      <t>t</t>
    </r>
    <r>
      <rPr>
        <vertAlign val="superscript"/>
        <sz val="12"/>
        <color theme="1"/>
        <rFont val="Times New Roman"/>
        <family val="1"/>
        <charset val="204"/>
      </rPr>
      <t>o</t>
    </r>
    <r>
      <rPr>
        <vertAlign val="subscript"/>
        <sz val="12"/>
        <color theme="1"/>
        <rFont val="Times New Roman"/>
        <family val="1"/>
        <charset val="204"/>
      </rPr>
      <t xml:space="preserve">35 </t>
    </r>
    <r>
      <rPr>
        <sz val="12"/>
        <color theme="1"/>
        <rFont val="Times New Roman"/>
        <family val="1"/>
        <charset val="204"/>
      </rPr>
      <t>– t</t>
    </r>
    <r>
      <rPr>
        <vertAlign val="superscript"/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 xml:space="preserve">35 </t>
    </r>
    <r>
      <rPr>
        <sz val="12"/>
        <color theme="1"/>
        <rFont val="Times New Roman"/>
        <family val="1"/>
        <charset val="204"/>
      </rPr>
      <t>≥ 15;</t>
    </r>
  </si>
  <si>
    <r>
      <t xml:space="preserve"> t</t>
    </r>
    <r>
      <rPr>
        <vertAlign val="superscript"/>
        <sz val="12"/>
        <color theme="1"/>
        <rFont val="Times New Roman"/>
        <family val="1"/>
        <charset val="204"/>
      </rPr>
      <t>o</t>
    </r>
    <r>
      <rPr>
        <vertAlign val="subscript"/>
        <sz val="12"/>
        <color theme="1"/>
        <rFont val="Times New Roman"/>
        <family val="1"/>
        <charset val="204"/>
      </rPr>
      <t xml:space="preserve">45 </t>
    </r>
    <r>
      <rPr>
        <sz val="12"/>
        <color theme="1"/>
        <rFont val="Times New Roman"/>
        <family val="1"/>
        <charset val="204"/>
      </rPr>
      <t>– t</t>
    </r>
    <r>
      <rPr>
        <vertAlign val="superscript"/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 xml:space="preserve">45 </t>
    </r>
    <r>
      <rPr>
        <sz val="12"/>
        <color theme="1"/>
        <rFont val="Times New Roman"/>
        <family val="1"/>
        <charset val="204"/>
      </rPr>
      <t>≥ 16;</t>
    </r>
  </si>
  <si>
    <r>
      <t>t</t>
    </r>
    <r>
      <rPr>
        <vertAlign val="superscript"/>
        <sz val="11"/>
        <color theme="1"/>
        <rFont val="Times New Roman"/>
        <family val="1"/>
        <charset val="204"/>
      </rPr>
      <t>o</t>
    </r>
    <r>
      <rPr>
        <vertAlign val="subscript"/>
        <sz val="11"/>
        <color theme="1"/>
        <rFont val="Times New Roman"/>
        <family val="1"/>
        <charset val="204"/>
      </rPr>
      <t xml:space="preserve">12 </t>
    </r>
    <r>
      <rPr>
        <sz val="11"/>
        <color theme="1"/>
        <rFont val="Times New Roman"/>
        <family val="1"/>
        <charset val="204"/>
      </rPr>
      <t>– t</t>
    </r>
    <r>
      <rPr>
        <vertAlign val="superscript"/>
        <sz val="11"/>
        <color theme="1"/>
        <rFont val="Times New Roman"/>
        <family val="1"/>
        <charset val="204"/>
      </rPr>
      <t>н</t>
    </r>
    <r>
      <rPr>
        <vertAlign val="subscript"/>
        <sz val="11"/>
        <color theme="1"/>
        <rFont val="Times New Roman"/>
        <family val="1"/>
        <charset val="204"/>
      </rPr>
      <t>12 =</t>
    </r>
    <r>
      <rPr>
        <sz val="11"/>
        <color theme="1"/>
        <rFont val="Times New Roman"/>
        <family val="1"/>
        <charset val="204"/>
      </rPr>
      <t xml:space="preserve"> 9 - 0,2x</t>
    </r>
    <r>
      <rPr>
        <vertAlign val="subscript"/>
        <sz val="11"/>
        <color theme="1"/>
        <rFont val="Times New Roman"/>
        <family val="1"/>
        <charset val="204"/>
      </rPr>
      <t>12</t>
    </r>
    <r>
      <rPr>
        <sz val="11"/>
        <color theme="1"/>
        <rFont val="Times New Roman"/>
        <family val="1"/>
        <charset val="204"/>
      </rPr>
      <t>;</t>
    </r>
  </si>
  <si>
    <r>
      <t>t</t>
    </r>
    <r>
      <rPr>
        <vertAlign val="superscript"/>
        <sz val="11"/>
        <color theme="1"/>
        <rFont val="Times New Roman"/>
        <family val="1"/>
        <charset val="204"/>
      </rPr>
      <t>o</t>
    </r>
    <r>
      <rPr>
        <vertAlign val="subscript"/>
        <sz val="11"/>
        <color theme="1"/>
        <rFont val="Times New Roman"/>
        <family val="1"/>
        <charset val="204"/>
      </rPr>
      <t xml:space="preserve">13 </t>
    </r>
    <r>
      <rPr>
        <sz val="11"/>
        <color theme="1"/>
        <rFont val="Times New Roman"/>
        <family val="1"/>
        <charset val="204"/>
      </rPr>
      <t>– t</t>
    </r>
    <r>
      <rPr>
        <vertAlign val="superscript"/>
        <sz val="11"/>
        <color theme="1"/>
        <rFont val="Times New Roman"/>
        <family val="1"/>
        <charset val="204"/>
      </rPr>
      <t>н</t>
    </r>
    <r>
      <rPr>
        <vertAlign val="subscript"/>
        <sz val="11"/>
        <color theme="1"/>
        <rFont val="Times New Roman"/>
        <family val="1"/>
        <charset val="204"/>
      </rPr>
      <t>13 =</t>
    </r>
    <r>
      <rPr>
        <sz val="11"/>
        <color theme="1"/>
        <rFont val="Times New Roman"/>
        <family val="1"/>
        <charset val="204"/>
      </rPr>
      <t xml:space="preserve"> 18 – 0,25x</t>
    </r>
    <r>
      <rPr>
        <vertAlign val="subscript"/>
        <sz val="11"/>
        <color theme="1"/>
        <rFont val="Times New Roman"/>
        <family val="1"/>
        <charset val="204"/>
      </rPr>
      <t>13</t>
    </r>
    <r>
      <rPr>
        <sz val="11"/>
        <color theme="1"/>
        <rFont val="Times New Roman"/>
        <family val="1"/>
        <charset val="204"/>
      </rPr>
      <t>;</t>
    </r>
  </si>
  <si>
    <r>
      <t>t</t>
    </r>
    <r>
      <rPr>
        <vertAlign val="superscript"/>
        <sz val="11"/>
        <color theme="1"/>
        <rFont val="Times New Roman"/>
        <family val="1"/>
        <charset val="204"/>
      </rPr>
      <t>o</t>
    </r>
    <r>
      <rPr>
        <vertAlign val="subscript"/>
        <sz val="11"/>
        <color theme="1"/>
        <rFont val="Times New Roman"/>
        <family val="1"/>
        <charset val="204"/>
      </rPr>
      <t xml:space="preserve">14 </t>
    </r>
    <r>
      <rPr>
        <sz val="11"/>
        <color theme="1"/>
        <rFont val="Times New Roman"/>
        <family val="1"/>
        <charset val="204"/>
      </rPr>
      <t>– t</t>
    </r>
    <r>
      <rPr>
        <vertAlign val="superscript"/>
        <sz val="11"/>
        <color theme="1"/>
        <rFont val="Times New Roman"/>
        <family val="1"/>
        <charset val="204"/>
      </rPr>
      <t>н</t>
    </r>
    <r>
      <rPr>
        <vertAlign val="subscript"/>
        <sz val="11"/>
        <color theme="1"/>
        <rFont val="Times New Roman"/>
        <family val="1"/>
        <charset val="204"/>
      </rPr>
      <t>14 =</t>
    </r>
    <r>
      <rPr>
        <sz val="11"/>
        <color theme="1"/>
        <rFont val="Times New Roman"/>
        <family val="1"/>
        <charset val="204"/>
      </rPr>
      <t xml:space="preserve"> 21 - 0,15x</t>
    </r>
    <r>
      <rPr>
        <vertAlign val="subscript"/>
        <sz val="11"/>
        <color theme="1"/>
        <rFont val="Times New Roman"/>
        <family val="1"/>
        <charset val="204"/>
      </rPr>
      <t>14</t>
    </r>
    <r>
      <rPr>
        <sz val="11"/>
        <color theme="1"/>
        <rFont val="Times New Roman"/>
        <family val="1"/>
        <charset val="204"/>
      </rPr>
      <t>;</t>
    </r>
  </si>
  <si>
    <r>
      <t>t</t>
    </r>
    <r>
      <rPr>
        <vertAlign val="superscript"/>
        <sz val="11"/>
        <color theme="1"/>
        <rFont val="Times New Roman"/>
        <family val="1"/>
        <charset val="204"/>
      </rPr>
      <t>o</t>
    </r>
    <r>
      <rPr>
        <vertAlign val="subscript"/>
        <sz val="11"/>
        <color theme="1"/>
        <rFont val="Times New Roman"/>
        <family val="1"/>
        <charset val="204"/>
      </rPr>
      <t xml:space="preserve">23 </t>
    </r>
    <r>
      <rPr>
        <sz val="11"/>
        <color theme="1"/>
        <rFont val="Times New Roman"/>
        <family val="1"/>
        <charset val="204"/>
      </rPr>
      <t>– t</t>
    </r>
    <r>
      <rPr>
        <vertAlign val="superscript"/>
        <sz val="11"/>
        <color theme="1"/>
        <rFont val="Times New Roman"/>
        <family val="1"/>
        <charset val="204"/>
      </rPr>
      <t>н</t>
    </r>
    <r>
      <rPr>
        <vertAlign val="subscript"/>
        <sz val="11"/>
        <color theme="1"/>
        <rFont val="Times New Roman"/>
        <family val="1"/>
        <charset val="204"/>
      </rPr>
      <t>23 =</t>
    </r>
    <r>
      <rPr>
        <sz val="11"/>
        <color theme="1"/>
        <rFont val="Times New Roman"/>
        <family val="1"/>
        <charset val="204"/>
      </rPr>
      <t xml:space="preserve"> 7 - 0,4x</t>
    </r>
    <r>
      <rPr>
        <vertAlign val="subscript"/>
        <sz val="11"/>
        <color theme="1"/>
        <rFont val="Times New Roman"/>
        <family val="1"/>
        <charset val="204"/>
      </rPr>
      <t>23</t>
    </r>
    <r>
      <rPr>
        <sz val="11"/>
        <color theme="1"/>
        <rFont val="Times New Roman"/>
        <family val="1"/>
        <charset val="204"/>
      </rPr>
      <t xml:space="preserve">; </t>
    </r>
  </si>
  <si>
    <r>
      <t>t</t>
    </r>
    <r>
      <rPr>
        <vertAlign val="superscript"/>
        <sz val="11"/>
        <color theme="1"/>
        <rFont val="Times New Roman"/>
        <family val="1"/>
        <charset val="204"/>
      </rPr>
      <t>o</t>
    </r>
    <r>
      <rPr>
        <vertAlign val="subscript"/>
        <sz val="11"/>
        <color theme="1"/>
        <rFont val="Times New Roman"/>
        <family val="1"/>
        <charset val="204"/>
      </rPr>
      <t xml:space="preserve">34 </t>
    </r>
    <r>
      <rPr>
        <sz val="11"/>
        <color theme="1"/>
        <rFont val="Times New Roman"/>
        <family val="1"/>
        <charset val="204"/>
      </rPr>
      <t>– t</t>
    </r>
    <r>
      <rPr>
        <vertAlign val="superscript"/>
        <sz val="11"/>
        <color theme="1"/>
        <rFont val="Times New Roman"/>
        <family val="1"/>
        <charset val="204"/>
      </rPr>
      <t>н</t>
    </r>
    <r>
      <rPr>
        <vertAlign val="subscript"/>
        <sz val="11"/>
        <color theme="1"/>
        <rFont val="Times New Roman"/>
        <family val="1"/>
        <charset val="204"/>
      </rPr>
      <t>34 =</t>
    </r>
    <r>
      <rPr>
        <sz val="11"/>
        <color theme="1"/>
        <rFont val="Times New Roman"/>
        <family val="1"/>
        <charset val="204"/>
      </rPr>
      <t xml:space="preserve"> 12 - 0,3x</t>
    </r>
    <r>
      <rPr>
        <vertAlign val="subscript"/>
        <sz val="11"/>
        <color theme="1"/>
        <rFont val="Times New Roman"/>
        <family val="1"/>
        <charset val="204"/>
      </rPr>
      <t>34</t>
    </r>
    <r>
      <rPr>
        <sz val="11"/>
        <color theme="1"/>
        <rFont val="Times New Roman"/>
        <family val="1"/>
        <charset val="204"/>
      </rPr>
      <t>;</t>
    </r>
  </si>
  <si>
    <r>
      <t>t</t>
    </r>
    <r>
      <rPr>
        <vertAlign val="superscript"/>
        <sz val="11"/>
        <color theme="1"/>
        <rFont val="Times New Roman"/>
        <family val="1"/>
        <charset val="204"/>
      </rPr>
      <t>o</t>
    </r>
    <r>
      <rPr>
        <vertAlign val="subscript"/>
        <sz val="11"/>
        <color theme="1"/>
        <rFont val="Times New Roman"/>
        <family val="1"/>
        <charset val="204"/>
      </rPr>
      <t xml:space="preserve">35 </t>
    </r>
    <r>
      <rPr>
        <sz val="11"/>
        <color theme="1"/>
        <rFont val="Times New Roman"/>
        <family val="1"/>
        <charset val="204"/>
      </rPr>
      <t>– t</t>
    </r>
    <r>
      <rPr>
        <vertAlign val="superscript"/>
        <sz val="11"/>
        <color theme="1"/>
        <rFont val="Times New Roman"/>
        <family val="1"/>
        <charset val="204"/>
      </rPr>
      <t>н</t>
    </r>
    <r>
      <rPr>
        <vertAlign val="subscript"/>
        <sz val="11"/>
        <color theme="1"/>
        <rFont val="Times New Roman"/>
        <family val="1"/>
        <charset val="204"/>
      </rPr>
      <t>35 =</t>
    </r>
    <r>
      <rPr>
        <sz val="11"/>
        <color theme="1"/>
        <rFont val="Times New Roman"/>
        <family val="1"/>
        <charset val="204"/>
      </rPr>
      <t xml:space="preserve"> 19 - 0,12x</t>
    </r>
    <r>
      <rPr>
        <vertAlign val="subscript"/>
        <sz val="11"/>
        <color theme="1"/>
        <rFont val="Times New Roman"/>
        <family val="1"/>
        <charset val="204"/>
      </rPr>
      <t>35</t>
    </r>
    <r>
      <rPr>
        <sz val="11"/>
        <color theme="1"/>
        <rFont val="Times New Roman"/>
        <family val="1"/>
        <charset val="204"/>
      </rPr>
      <t>;</t>
    </r>
  </si>
  <si>
    <r>
      <t>t</t>
    </r>
    <r>
      <rPr>
        <vertAlign val="superscript"/>
        <sz val="11"/>
        <color theme="1"/>
        <rFont val="Times New Roman"/>
        <family val="1"/>
        <charset val="204"/>
      </rPr>
      <t>o</t>
    </r>
    <r>
      <rPr>
        <vertAlign val="subscript"/>
        <sz val="11"/>
        <color theme="1"/>
        <rFont val="Times New Roman"/>
        <family val="1"/>
        <charset val="204"/>
      </rPr>
      <t xml:space="preserve">45 </t>
    </r>
    <r>
      <rPr>
        <sz val="11"/>
        <color theme="1"/>
        <rFont val="Times New Roman"/>
        <family val="1"/>
        <charset val="204"/>
      </rPr>
      <t>– t</t>
    </r>
    <r>
      <rPr>
        <vertAlign val="superscript"/>
        <sz val="11"/>
        <color theme="1"/>
        <rFont val="Times New Roman"/>
        <family val="1"/>
        <charset val="204"/>
      </rPr>
      <t>н</t>
    </r>
    <r>
      <rPr>
        <vertAlign val="subscript"/>
        <sz val="11"/>
        <color theme="1"/>
        <rFont val="Times New Roman"/>
        <family val="1"/>
        <charset val="204"/>
      </rPr>
      <t>45 =</t>
    </r>
    <r>
      <rPr>
        <sz val="11"/>
        <color theme="1"/>
        <rFont val="Times New Roman"/>
        <family val="1"/>
        <charset val="204"/>
      </rPr>
      <t xml:space="preserve"> 20 - 0,2x</t>
    </r>
    <r>
      <rPr>
        <vertAlign val="subscript"/>
        <sz val="11"/>
        <color theme="1"/>
        <rFont val="Times New Roman"/>
        <family val="1"/>
        <charset val="204"/>
      </rPr>
      <t>45</t>
    </r>
    <r>
      <rPr>
        <sz val="11"/>
        <color theme="1"/>
        <rFont val="Times New Roman"/>
        <family val="1"/>
        <charset val="204"/>
      </rPr>
      <t>;</t>
    </r>
  </si>
  <si>
    <t>(2, 3)</t>
  </si>
  <si>
    <t>(3, 5)</t>
  </si>
  <si>
    <t>Время</t>
  </si>
  <si>
    <t>Вложенные средства</t>
  </si>
  <si>
    <t>Microsoft Excel 16.0 Linearity Report</t>
  </si>
  <si>
    <t>Worksheet: [ЛР6 В22 Наривончик 351004.xlsx]ЛР6 Задача 2</t>
  </si>
  <si>
    <t>Report Created: 23.11.2025 17:18:02</t>
  </si>
  <si>
    <t>Linear Function</t>
  </si>
  <si>
    <t>Occurs Linearly</t>
  </si>
  <si>
    <t>$L$82</t>
  </si>
  <si>
    <t>Время kij</t>
  </si>
  <si>
    <t>No</t>
  </si>
  <si>
    <t>$E$70</t>
  </si>
  <si>
    <t>(1, 2) tн</t>
  </si>
  <si>
    <t>$F$70</t>
  </si>
  <si>
    <t>(1, 2) tо</t>
  </si>
  <si>
    <t>$G$70</t>
  </si>
  <si>
    <t>(1, 2) xij</t>
  </si>
  <si>
    <t>$E$71</t>
  </si>
  <si>
    <t>(1, 3) tн</t>
  </si>
  <si>
    <t>$F$71</t>
  </si>
  <si>
    <t>(1, 3) tо</t>
  </si>
  <si>
    <t>$G$71</t>
  </si>
  <si>
    <t>(1, 3) xij</t>
  </si>
  <si>
    <t>$E$72</t>
  </si>
  <si>
    <t>(1, 4) tн</t>
  </si>
  <si>
    <t>$F$72</t>
  </si>
  <si>
    <t>(1, 4) tо</t>
  </si>
  <si>
    <t>$G$72</t>
  </si>
  <si>
    <t>(1, 4) xij</t>
  </si>
  <si>
    <t>$E$73</t>
  </si>
  <si>
    <t>(2, 3) tн</t>
  </si>
  <si>
    <t>$F$73</t>
  </si>
  <si>
    <t>(2, 3) tо</t>
  </si>
  <si>
    <t>$G$73</t>
  </si>
  <si>
    <t>(2, 3) xij</t>
  </si>
  <si>
    <t>$E$74</t>
  </si>
  <si>
    <t>(3, 4) tн</t>
  </si>
  <si>
    <t>$F$74</t>
  </si>
  <si>
    <t>(3, 4) tо</t>
  </si>
  <si>
    <t>$G$74</t>
  </si>
  <si>
    <t>(3, 4) xij</t>
  </si>
  <si>
    <t>$E$75</t>
  </si>
  <si>
    <t>(3, 5) tн</t>
  </si>
  <si>
    <t>$F$75</t>
  </si>
  <si>
    <t>(3, 5) tо</t>
  </si>
  <si>
    <t>$G$75</t>
  </si>
  <si>
    <t>(3, 5) xij</t>
  </si>
  <si>
    <t>$E$76</t>
  </si>
  <si>
    <t>(4, 5) tн</t>
  </si>
  <si>
    <t>$F$76</t>
  </si>
  <si>
    <t>(4, 5) tо</t>
  </si>
  <si>
    <t>$G$76</t>
  </si>
  <si>
    <t>(4, 5) xij</t>
  </si>
  <si>
    <t>$E$77</t>
  </si>
  <si>
    <t>(5, 6) tн</t>
  </si>
  <si>
    <t>$F$77</t>
  </si>
  <si>
    <t>(5, 6) tо</t>
  </si>
  <si>
    <t>$G$77</t>
  </si>
  <si>
    <t>(5, 6) xij</t>
  </si>
  <si>
    <t>$E$73&gt;=$F$70</t>
  </si>
  <si>
    <t>$E$74&gt;=$F$71</t>
  </si>
  <si>
    <t>$E$75&gt;=$F$71</t>
  </si>
  <si>
    <t>$E$74&gt;=$F$73</t>
  </si>
  <si>
    <t>$E$75&gt;=$F$73</t>
  </si>
  <si>
    <t>$E$76&gt;=$F$72</t>
  </si>
  <si>
    <t>$E$76&gt;=$F$74</t>
  </si>
  <si>
    <t>$E$77&gt;=$F$75</t>
  </si>
  <si>
    <t>$E$77&gt;=$F$76</t>
  </si>
  <si>
    <t>$F$75=$F$77</t>
  </si>
  <si>
    <t>$F$76=$F$77</t>
  </si>
  <si>
    <t>$F$77&lt;=$C$77</t>
  </si>
  <si>
    <t>Yes</t>
  </si>
  <si>
    <t>$H$70</t>
  </si>
  <si>
    <t>(1, 2) tij</t>
  </si>
  <si>
    <t>$H$70=$M$70</t>
  </si>
  <si>
    <t>$H$71</t>
  </si>
  <si>
    <t>(1, 3) tij</t>
  </si>
  <si>
    <t>$H$71=$M$71</t>
  </si>
  <si>
    <t>$H$72</t>
  </si>
  <si>
    <t>(1, 4) tij</t>
  </si>
  <si>
    <t>$H$72=$M$72</t>
  </si>
  <si>
    <t>$H$73</t>
  </si>
  <si>
    <t>(2, 3) tij</t>
  </si>
  <si>
    <t>$H$73=$M$73</t>
  </si>
  <si>
    <t>$H$74</t>
  </si>
  <si>
    <t>(3, 4) tij</t>
  </si>
  <si>
    <t>$H$74=$M$74</t>
  </si>
  <si>
    <t>$H$75</t>
  </si>
  <si>
    <t>(3, 5) tij</t>
  </si>
  <si>
    <t>$H$75=$M$75</t>
  </si>
  <si>
    <t>$H$76</t>
  </si>
  <si>
    <t>(4, 5) tij</t>
  </si>
  <si>
    <t>$H$76=$M$76</t>
  </si>
  <si>
    <t>$H$77</t>
  </si>
  <si>
    <t>(5, 6) tij</t>
  </si>
  <si>
    <t>$H$77=$M$77</t>
  </si>
  <si>
    <t>$H$70&gt;=$J$70</t>
  </si>
  <si>
    <t>$H$71&gt;=$J$71</t>
  </si>
  <si>
    <t>$H$72&gt;=$J$72</t>
  </si>
  <si>
    <t>$H$73&gt;=$J$73</t>
  </si>
  <si>
    <t>$H$74&gt;=$J$74</t>
  </si>
  <si>
    <t>$H$75&gt;=$J$75</t>
  </si>
  <si>
    <t>$H$76&gt;=$J$76</t>
  </si>
  <si>
    <t>$H$77&gt;=$J$77</t>
  </si>
  <si>
    <t>$L$80</t>
  </si>
  <si>
    <t>Вложенные средства kij</t>
  </si>
  <si>
    <t>$L$80&lt;=33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</si>
</sst>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</font>
    <font>
      <vertAlign val="subscript"/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sz val="11"/>
      <color rgb="FF000000"/>
      <name val="Calibri"/>
      <family val="2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vertAlign val="subscript"/>
      <sz val="11"/>
      <color theme="1"/>
      <name val="Times New Roman"/>
      <family val="1"/>
      <charset val="204"/>
    </font>
  </fonts>
  <fills count="2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8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/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90">
    <xf numFmtId="0" fontId="0" fillId="0" borderId="0" xfId="0"/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wrapText="1"/>
    </xf>
    <xf numFmtId="0" fontId="0" fillId="0" borderId="33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27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6" borderId="47" xfId="0" applyFill="1" applyBorder="1" applyAlignment="1">
      <alignment horizontal="center" vertical="center"/>
    </xf>
    <xf numFmtId="0" fontId="0" fillId="6" borderId="4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7" borderId="33" xfId="0" applyFill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8" borderId="43" xfId="0" applyFill="1" applyBorder="1" applyAlignment="1">
      <alignment horizontal="center" vertical="center"/>
    </xf>
    <xf numFmtId="0" fontId="1" fillId="0" borderId="0" xfId="0" applyFont="1"/>
    <xf numFmtId="0" fontId="0" fillId="0" borderId="53" xfId="0" applyFill="1" applyBorder="1" applyAlignment="1"/>
    <xf numFmtId="0" fontId="2" fillId="0" borderId="52" xfId="0" applyFont="1" applyFill="1" applyBorder="1" applyAlignment="1">
      <alignment horizontal="center"/>
    </xf>
    <xf numFmtId="0" fontId="0" fillId="0" borderId="54" xfId="0" applyFill="1" applyBorder="1" applyAlignment="1"/>
    <xf numFmtId="0" fontId="0" fillId="0" borderId="53" xfId="0" applyNumberFormat="1" applyFill="1" applyBorder="1" applyAlignment="1"/>
    <xf numFmtId="0" fontId="0" fillId="0" borderId="54" xfId="0" applyNumberFormat="1" applyFill="1" applyBorder="1" applyAlignment="1"/>
    <xf numFmtId="0" fontId="2" fillId="0" borderId="50" xfId="0" applyFont="1" applyFill="1" applyBorder="1" applyAlignment="1">
      <alignment horizontal="center"/>
    </xf>
    <xf numFmtId="0" fontId="2" fillId="0" borderId="51" xfId="0" applyFont="1" applyFill="1" applyBorder="1" applyAlignment="1">
      <alignment horizontal="center"/>
    </xf>
    <xf numFmtId="0" fontId="0" fillId="9" borderId="15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24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8" borderId="39" xfId="0" applyFill="1" applyBorder="1" applyAlignment="1">
      <alignment horizontal="center" vertical="center" wrapText="1"/>
    </xf>
    <xf numFmtId="0" fontId="0" fillId="0" borderId="3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14" borderId="9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57" xfId="0" applyFill="1" applyBorder="1" applyAlignment="1">
      <alignment horizontal="center" vertical="center"/>
    </xf>
    <xf numFmtId="0" fontId="0" fillId="7" borderId="48" xfId="0" applyFill="1" applyBorder="1" applyAlignment="1">
      <alignment horizontal="center" vertical="center"/>
    </xf>
    <xf numFmtId="0" fontId="0" fillId="7" borderId="47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7" borderId="64" xfId="0" applyFill="1" applyBorder="1" applyAlignment="1">
      <alignment horizontal="center" vertical="center"/>
    </xf>
    <xf numFmtId="0" fontId="0" fillId="7" borderId="65" xfId="0" applyFill="1" applyBorder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0" xfId="0" applyBorder="1" applyAlignment="1"/>
    <xf numFmtId="0" fontId="0" fillId="0" borderId="33" xfId="0" applyFill="1" applyBorder="1" applyAlignment="1">
      <alignment horizontal="center" vertical="center"/>
    </xf>
    <xf numFmtId="0" fontId="0" fillId="15" borderId="67" xfId="0" applyFill="1" applyBorder="1" applyAlignment="1">
      <alignment horizontal="center" vertical="center"/>
    </xf>
    <xf numFmtId="0" fontId="0" fillId="7" borderId="68" xfId="0" applyFill="1" applyBorder="1" applyAlignment="1">
      <alignment horizontal="center" vertical="center"/>
    </xf>
    <xf numFmtId="0" fontId="0" fillId="7" borderId="69" xfId="0" applyFill="1" applyBorder="1" applyAlignment="1">
      <alignment horizontal="center" vertical="center"/>
    </xf>
    <xf numFmtId="0" fontId="0" fillId="7" borderId="70" xfId="0" applyFill="1" applyBorder="1" applyAlignment="1">
      <alignment horizontal="center" vertical="center"/>
    </xf>
    <xf numFmtId="0" fontId="0" fillId="7" borderId="71" xfId="0" applyFill="1" applyBorder="1" applyAlignment="1">
      <alignment horizontal="center" vertical="center"/>
    </xf>
    <xf numFmtId="0" fontId="0" fillId="7" borderId="66" xfId="0" applyFill="1" applyBorder="1" applyAlignment="1">
      <alignment horizontal="center" vertical="center"/>
    </xf>
    <xf numFmtId="0" fontId="0" fillId="0" borderId="33" xfId="0" applyBorder="1"/>
    <xf numFmtId="0" fontId="0" fillId="0" borderId="15" xfId="0" applyBorder="1"/>
    <xf numFmtId="0" fontId="0" fillId="0" borderId="16" xfId="0" applyBorder="1"/>
    <xf numFmtId="0" fontId="0" fillId="0" borderId="37" xfId="0" applyBorder="1"/>
    <xf numFmtId="0" fontId="0" fillId="0" borderId="20" xfId="0" applyBorder="1"/>
    <xf numFmtId="0" fontId="0" fillId="0" borderId="13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3" xfId="0" applyFill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0" fillId="13" borderId="40" xfId="0" applyFill="1" applyBorder="1" applyAlignment="1">
      <alignment horizontal="center" vertical="center"/>
    </xf>
    <xf numFmtId="0" fontId="0" fillId="13" borderId="41" xfId="0" applyFill="1" applyBorder="1" applyAlignment="1">
      <alignment horizontal="center" vertical="center"/>
    </xf>
    <xf numFmtId="0" fontId="0" fillId="13" borderId="22" xfId="0" applyFill="1" applyBorder="1" applyAlignment="1">
      <alignment horizontal="center" vertical="center"/>
    </xf>
    <xf numFmtId="0" fontId="0" fillId="13" borderId="42" xfId="0" applyFill="1" applyBorder="1" applyAlignment="1">
      <alignment horizontal="center" vertical="center"/>
    </xf>
    <xf numFmtId="0" fontId="0" fillId="13" borderId="43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2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  <xf numFmtId="16" fontId="0" fillId="3" borderId="8" xfId="0" quotePrefix="1" applyNumberFormat="1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/>
    </xf>
    <xf numFmtId="0" fontId="0" fillId="0" borderId="23" xfId="0" applyBorder="1"/>
    <xf numFmtId="0" fontId="0" fillId="0" borderId="73" xfId="0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3" borderId="29" xfId="0" quotePrefix="1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0" borderId="0" xfId="0" applyFill="1" applyBorder="1" applyAlignment="1"/>
    <xf numFmtId="0" fontId="0" fillId="5" borderId="19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quotePrefix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Fill="1" applyBorder="1" applyAlignment="1">
      <alignment horizontal="left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2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/>
    <xf numFmtId="0" fontId="0" fillId="0" borderId="9" xfId="0" applyBorder="1"/>
    <xf numFmtId="0" fontId="0" fillId="0" borderId="78" xfId="0" applyFill="1" applyBorder="1" applyAlignment="1">
      <alignment horizontal="center" vertical="center"/>
    </xf>
    <xf numFmtId="0" fontId="0" fillId="16" borderId="34" xfId="0" applyFill="1" applyBorder="1" applyAlignment="1">
      <alignment horizontal="center"/>
    </xf>
    <xf numFmtId="0" fontId="0" fillId="16" borderId="35" xfId="0" applyFill="1" applyBorder="1" applyAlignment="1">
      <alignment horizontal="center"/>
    </xf>
    <xf numFmtId="0" fontId="0" fillId="22" borderId="9" xfId="0" applyFill="1" applyBorder="1" applyAlignment="1">
      <alignment horizontal="center"/>
    </xf>
    <xf numFmtId="0" fontId="0" fillId="22" borderId="34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0" fillId="7" borderId="9" xfId="0" applyFill="1" applyBorder="1" applyAlignment="1">
      <alignment horizontal="center" wrapText="1"/>
    </xf>
    <xf numFmtId="0" fontId="0" fillId="2" borderId="9" xfId="0" applyFill="1" applyBorder="1" applyAlignment="1">
      <alignment horizontal="center" vertical="center"/>
    </xf>
    <xf numFmtId="0" fontId="0" fillId="9" borderId="60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17" borderId="60" xfId="0" applyFill="1" applyBorder="1" applyAlignment="1">
      <alignment horizontal="center" wrapText="1"/>
    </xf>
    <xf numFmtId="0" fontId="0" fillId="17" borderId="18" xfId="0" applyFill="1" applyBorder="1" applyAlignment="1">
      <alignment horizontal="center"/>
    </xf>
    <xf numFmtId="0" fontId="0" fillId="12" borderId="60" xfId="0" applyFill="1" applyBorder="1" applyAlignment="1">
      <alignment horizontal="center" vertical="center"/>
    </xf>
    <xf numFmtId="0" fontId="0" fillId="12" borderId="78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/>
    </xf>
    <xf numFmtId="0" fontId="0" fillId="0" borderId="64" xfId="0" applyFill="1" applyBorder="1" applyAlignment="1">
      <alignment horizontal="center" vertical="center"/>
    </xf>
    <xf numFmtId="0" fontId="0" fillId="0" borderId="76" xfId="0" applyFill="1" applyBorder="1" applyAlignment="1">
      <alignment horizontal="center" vertical="center"/>
    </xf>
    <xf numFmtId="0" fontId="0" fillId="0" borderId="65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59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0" fillId="0" borderId="63" xfId="0" applyFill="1" applyBorder="1" applyAlignment="1">
      <alignment horizontal="center" vertical="center"/>
    </xf>
    <xf numFmtId="0" fontId="0" fillId="0" borderId="77" xfId="0" applyFill="1" applyBorder="1" applyAlignment="1">
      <alignment horizontal="center" vertical="center"/>
    </xf>
    <xf numFmtId="0" fontId="0" fillId="0" borderId="69" xfId="0" applyFill="1" applyBorder="1" applyAlignment="1">
      <alignment horizontal="center" vertical="center"/>
    </xf>
    <xf numFmtId="0" fontId="0" fillId="0" borderId="70" xfId="0" applyFill="1" applyBorder="1" applyAlignment="1">
      <alignment horizontal="center" vertical="center"/>
    </xf>
    <xf numFmtId="0" fontId="0" fillId="16" borderId="37" xfId="0" applyFill="1" applyBorder="1" applyAlignment="1">
      <alignment horizontal="center" vertical="center"/>
    </xf>
    <xf numFmtId="0" fontId="0" fillId="16" borderId="33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5" fillId="16" borderId="14" xfId="0" applyFont="1" applyFill="1" applyBorder="1" applyAlignment="1">
      <alignment horizontal="center" vertical="center" wrapText="1"/>
    </xf>
    <xf numFmtId="0" fontId="5" fillId="16" borderId="15" xfId="0" applyFont="1" applyFill="1" applyBorder="1" applyAlignment="1">
      <alignment horizontal="center" vertical="center" wrapText="1"/>
    </xf>
    <xf numFmtId="0" fontId="5" fillId="16" borderId="16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13" borderId="37" xfId="0" applyFont="1" applyFill="1" applyBorder="1" applyAlignment="1">
      <alignment horizontal="center" vertical="center" wrapText="1"/>
    </xf>
    <xf numFmtId="0" fontId="5" fillId="13" borderId="20" xfId="0" applyFont="1" applyFill="1" applyBorder="1" applyAlignment="1">
      <alignment horizontal="center" vertical="center" wrapText="1"/>
    </xf>
    <xf numFmtId="0" fontId="5" fillId="13" borderId="26" xfId="0" applyFont="1" applyFill="1" applyBorder="1" applyAlignment="1">
      <alignment horizontal="center" vertical="center" wrapText="1"/>
    </xf>
    <xf numFmtId="0" fontId="5" fillId="21" borderId="14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/>
    </xf>
    <xf numFmtId="0" fontId="8" fillId="12" borderId="21" xfId="0" applyFont="1" applyFill="1" applyBorder="1" applyAlignment="1">
      <alignment horizontal="center" vertical="center"/>
    </xf>
    <xf numFmtId="0" fontId="8" fillId="12" borderId="27" xfId="0" applyFont="1" applyFill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0" fillId="0" borderId="34" xfId="0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0" fontId="5" fillId="13" borderId="17" xfId="0" applyFont="1" applyFill="1" applyBorder="1" applyAlignment="1">
      <alignment horizontal="center" vertical="center" wrapText="1"/>
    </xf>
    <xf numFmtId="0" fontId="8" fillId="12" borderId="9" xfId="0" applyFont="1" applyFill="1" applyBorder="1" applyAlignment="1">
      <alignment horizontal="center" vertical="center"/>
    </xf>
    <xf numFmtId="0" fontId="5" fillId="16" borderId="49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/>
    </xf>
    <xf numFmtId="0" fontId="0" fillId="0" borderId="34" xfId="0" applyFill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0" fillId="20" borderId="33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3" borderId="44" xfId="0" applyFill="1" applyBorder="1" applyAlignment="1">
      <alignment horizontal="center"/>
    </xf>
    <xf numFmtId="0" fontId="0" fillId="23" borderId="19" xfId="0" applyFill="1" applyBorder="1" applyAlignment="1">
      <alignment horizontal="center"/>
    </xf>
    <xf numFmtId="0" fontId="0" fillId="23" borderId="77" xfId="0" applyFill="1" applyBorder="1" applyAlignment="1">
      <alignment horizontal="center"/>
    </xf>
    <xf numFmtId="0" fontId="0" fillId="23" borderId="70" xfId="0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0" fillId="21" borderId="34" xfId="0" applyFill="1" applyBorder="1" applyAlignment="1">
      <alignment horizontal="center"/>
    </xf>
    <xf numFmtId="0" fontId="0" fillId="21" borderId="35" xfId="0" applyFill="1" applyBorder="1" applyAlignment="1">
      <alignment horizontal="center"/>
    </xf>
    <xf numFmtId="0" fontId="0" fillId="21" borderId="21" xfId="0" applyFill="1" applyBorder="1" applyAlignment="1">
      <alignment horizontal="center"/>
    </xf>
    <xf numFmtId="0" fontId="0" fillId="21" borderId="34" xfId="0" applyFill="1" applyBorder="1" applyAlignment="1">
      <alignment horizontal="center" vertical="center"/>
    </xf>
    <xf numFmtId="0" fontId="0" fillId="21" borderId="35" xfId="0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0" fontId="0" fillId="21" borderId="9" xfId="0" applyFill="1" applyBorder="1" applyAlignment="1"/>
    <xf numFmtId="0" fontId="0" fillId="0" borderId="3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1" borderId="34" xfId="0" applyFill="1" applyBorder="1" applyAlignment="1"/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67" xfId="0" applyBorder="1" applyAlignment="1">
      <alignment horizontal="center"/>
    </xf>
    <xf numFmtId="0" fontId="9" fillId="0" borderId="9" xfId="0" applyFont="1" applyBorder="1" applyAlignment="1">
      <alignment horizontal="center" vertical="center" wrapText="1"/>
    </xf>
    <xf numFmtId="1" fontId="0" fillId="0" borderId="9" xfId="0" applyNumberFormat="1" applyBorder="1"/>
    <xf numFmtId="1" fontId="4" fillId="0" borderId="9" xfId="0" applyNumberFormat="1" applyFont="1" applyBorder="1" applyAlignment="1">
      <alignment horizontal="center" vertic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21" borderId="9" xfId="0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0" borderId="0" xfId="0" applyFill="1" applyBorder="1" applyAlignment="1">
      <alignment wrapText="1"/>
    </xf>
    <xf numFmtId="0" fontId="0" fillId="21" borderId="60" xfId="0" applyFill="1" applyBorder="1" applyAlignment="1">
      <alignment horizontal="center" wrapText="1"/>
    </xf>
    <xf numFmtId="0" fontId="0" fillId="21" borderId="18" xfId="0" applyFill="1" applyBorder="1" applyAlignment="1">
      <alignment horizontal="center"/>
    </xf>
    <xf numFmtId="0" fontId="0" fillId="14" borderId="60" xfId="0" applyFill="1" applyBorder="1" applyAlignment="1">
      <alignment horizontal="center" vertical="center"/>
    </xf>
    <xf numFmtId="0" fontId="0" fillId="14" borderId="78" xfId="0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0" fontId="0" fillId="19" borderId="60" xfId="0" applyFill="1" applyBorder="1" applyAlignment="1">
      <alignment horizontal="center" vertical="center"/>
    </xf>
    <xf numFmtId="0" fontId="0" fillId="19" borderId="18" xfId="0" applyFill="1" applyBorder="1" applyAlignment="1">
      <alignment horizontal="center" vertical="center"/>
    </xf>
    <xf numFmtId="0" fontId="0" fillId="8" borderId="34" xfId="0" applyFill="1" applyBorder="1" applyAlignment="1">
      <alignment horizontal="center"/>
    </xf>
    <xf numFmtId="0" fontId="0" fillId="8" borderId="35" xfId="0" applyFill="1" applyBorder="1" applyAlignment="1">
      <alignment horizontal="center"/>
    </xf>
    <xf numFmtId="0" fontId="0" fillId="18" borderId="9" xfId="0" applyFill="1" applyBorder="1" applyAlignment="1">
      <alignment horizontal="center" wrapText="1"/>
    </xf>
    <xf numFmtId="0" fontId="0" fillId="13" borderId="9" xfId="0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 wrapText="1"/>
    </xf>
    <xf numFmtId="0" fontId="0" fillId="21" borderId="9" xfId="0" applyFill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72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79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79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34" xfId="0" applyFill="1" applyBorder="1" applyAlignment="1">
      <alignment horizontal="center" vertical="center"/>
    </xf>
    <xf numFmtId="1" fontId="0" fillId="0" borderId="13" xfId="0" applyNumberFormat="1" applyFont="1" applyBorder="1" applyAlignment="1">
      <alignment horizontal="center" vertical="center"/>
    </xf>
    <xf numFmtId="0" fontId="1" fillId="0" borderId="53" xfId="0" applyFont="1" applyFill="1" applyBorder="1" applyAlignment="1"/>
    <xf numFmtId="0" fontId="1" fillId="0" borderId="54" xfId="0" applyFont="1" applyFill="1" applyBorder="1" applyAlignment="1"/>
    <xf numFmtId="1" fontId="0" fillId="0" borderId="54" xfId="0" applyNumberFormat="1" applyFill="1" applyBorder="1" applyAlignment="1"/>
    <xf numFmtId="1" fontId="0" fillId="0" borderId="53" xfId="0" applyNumberFormat="1" applyFill="1" applyBorder="1" applyAlignment="1"/>
    <xf numFmtId="0" fontId="0" fillId="12" borderId="3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AE98F"/>
      <color rgb="FFBCFFB7"/>
      <color rgb="FFB7FFD2"/>
      <color rgb="FFB7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Время до начала работы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'ЛР6 Задача 1'!$B$39:$B$48</c:f>
              <c:strCache>
                <c:ptCount val="10"/>
                <c:pt idx="0">
                  <c:v>(1, 2)</c:v>
                </c:pt>
                <c:pt idx="1">
                  <c:v>(1, 3)</c:v>
                </c:pt>
                <c:pt idx="2">
                  <c:v>(1, 4)</c:v>
                </c:pt>
                <c:pt idx="3">
                  <c:v>(2, 4)</c:v>
                </c:pt>
                <c:pt idx="4">
                  <c:v>(2, 5)</c:v>
                </c:pt>
                <c:pt idx="5">
                  <c:v>(3, 4)</c:v>
                </c:pt>
                <c:pt idx="6">
                  <c:v>(3, 6)</c:v>
                </c:pt>
                <c:pt idx="7">
                  <c:v>(4, 5)</c:v>
                </c:pt>
                <c:pt idx="8">
                  <c:v>(4, 6)</c:v>
                </c:pt>
                <c:pt idx="9">
                  <c:v>(5, 6)</c:v>
                </c:pt>
              </c:strCache>
            </c:strRef>
          </c:cat>
          <c:val>
            <c:numRef>
              <c:f>'ЛР6 Задача 1'!$C$39:$C$48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10</c:v>
                </c:pt>
                <c:pt idx="5">
                  <c:v>13</c:v>
                </c:pt>
                <c:pt idx="6">
                  <c:v>13</c:v>
                </c:pt>
                <c:pt idx="7">
                  <c:v>30</c:v>
                </c:pt>
                <c:pt idx="8">
                  <c:v>30</c:v>
                </c:pt>
                <c:pt idx="9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A-4592-B804-392CB53E23BF}"/>
            </c:ext>
          </c:extLst>
        </c:ser>
        <c:ser>
          <c:idx val="1"/>
          <c:order val="1"/>
          <c:tx>
            <c:v>Продолжительность работы+Sheet1!$C$39:$C$48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'ЛР6 Задача 1'!$B$39:$B$48</c:f>
              <c:strCache>
                <c:ptCount val="10"/>
                <c:pt idx="0">
                  <c:v>(1, 2)</c:v>
                </c:pt>
                <c:pt idx="1">
                  <c:v>(1, 3)</c:v>
                </c:pt>
                <c:pt idx="2">
                  <c:v>(1, 4)</c:v>
                </c:pt>
                <c:pt idx="3">
                  <c:v>(2, 4)</c:v>
                </c:pt>
                <c:pt idx="4">
                  <c:v>(2, 5)</c:v>
                </c:pt>
                <c:pt idx="5">
                  <c:v>(3, 4)</c:v>
                </c:pt>
                <c:pt idx="6">
                  <c:v>(3, 6)</c:v>
                </c:pt>
                <c:pt idx="7">
                  <c:v>(4, 5)</c:v>
                </c:pt>
                <c:pt idx="8">
                  <c:v>(4, 6)</c:v>
                </c:pt>
                <c:pt idx="9">
                  <c:v>(5, 6)</c:v>
                </c:pt>
              </c:strCache>
            </c:strRef>
          </c:cat>
          <c:val>
            <c:numRef>
              <c:f>'ЛР6 Задача 1'!$D$39:$D$48</c:f>
              <c:numCache>
                <c:formatCode>General</c:formatCode>
                <c:ptCount val="10"/>
                <c:pt idx="0">
                  <c:v>10</c:v>
                </c:pt>
                <c:pt idx="1">
                  <c:v>13</c:v>
                </c:pt>
                <c:pt idx="2">
                  <c:v>24</c:v>
                </c:pt>
                <c:pt idx="3">
                  <c:v>9</c:v>
                </c:pt>
                <c:pt idx="4">
                  <c:v>11</c:v>
                </c:pt>
                <c:pt idx="5">
                  <c:v>17</c:v>
                </c:pt>
                <c:pt idx="6">
                  <c:v>10</c:v>
                </c:pt>
                <c:pt idx="7">
                  <c:v>15</c:v>
                </c:pt>
                <c:pt idx="8">
                  <c:v>15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8A-4592-B804-392CB53E23BF}"/>
            </c:ext>
          </c:extLst>
        </c:ser>
        <c:ser>
          <c:idx val="2"/>
          <c:order val="2"/>
          <c:tx>
            <c:v>Резерв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'ЛР6 Задача 1'!$B$39:$B$48</c:f>
              <c:strCache>
                <c:ptCount val="10"/>
                <c:pt idx="0">
                  <c:v>(1, 2)</c:v>
                </c:pt>
                <c:pt idx="1">
                  <c:v>(1, 3)</c:v>
                </c:pt>
                <c:pt idx="2">
                  <c:v>(1, 4)</c:v>
                </c:pt>
                <c:pt idx="3">
                  <c:v>(2, 4)</c:v>
                </c:pt>
                <c:pt idx="4">
                  <c:v>(2, 5)</c:v>
                </c:pt>
                <c:pt idx="5">
                  <c:v>(3, 4)</c:v>
                </c:pt>
                <c:pt idx="6">
                  <c:v>(3, 6)</c:v>
                </c:pt>
                <c:pt idx="7">
                  <c:v>(4, 5)</c:v>
                </c:pt>
                <c:pt idx="8">
                  <c:v>(4, 6)</c:v>
                </c:pt>
                <c:pt idx="9">
                  <c:v>(5, 6)</c:v>
                </c:pt>
              </c:strCache>
            </c:strRef>
          </c:cat>
          <c:val>
            <c:numRef>
              <c:f>'ЛР6 Задача 1'!$E$39:$E$48</c:f>
              <c:numCache>
                <c:formatCode>General</c:formatCode>
                <c:ptCount val="10"/>
                <c:pt idx="0">
                  <c:v>11</c:v>
                </c:pt>
                <c:pt idx="1">
                  <c:v>0</c:v>
                </c:pt>
                <c:pt idx="2">
                  <c:v>6</c:v>
                </c:pt>
                <c:pt idx="3">
                  <c:v>11</c:v>
                </c:pt>
                <c:pt idx="4">
                  <c:v>24</c:v>
                </c:pt>
                <c:pt idx="5">
                  <c:v>0</c:v>
                </c:pt>
                <c:pt idx="6">
                  <c:v>42</c:v>
                </c:pt>
                <c:pt idx="7">
                  <c:v>0</c:v>
                </c:pt>
                <c:pt idx="8">
                  <c:v>20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8A-4592-B804-392CB53E2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8604288"/>
        <c:axId val="998604768"/>
      </c:barChart>
      <c:catAx>
        <c:axId val="998604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04768"/>
        <c:crosses val="autoZero"/>
        <c:auto val="1"/>
        <c:lblAlgn val="ctr"/>
        <c:lblOffset val="100"/>
        <c:noMultiLvlLbl val="0"/>
      </c:catAx>
      <c:valAx>
        <c:axId val="99860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0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Время до начала работы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'ЛР6 Задача 1'!$B$39:$B$48</c:f>
              <c:strCache>
                <c:ptCount val="10"/>
                <c:pt idx="0">
                  <c:v>(1, 2)</c:v>
                </c:pt>
                <c:pt idx="1">
                  <c:v>(1, 3)</c:v>
                </c:pt>
                <c:pt idx="2">
                  <c:v>(1, 4)</c:v>
                </c:pt>
                <c:pt idx="3">
                  <c:v>(2, 4)</c:v>
                </c:pt>
                <c:pt idx="4">
                  <c:v>(2, 5)</c:v>
                </c:pt>
                <c:pt idx="5">
                  <c:v>(3, 4)</c:v>
                </c:pt>
                <c:pt idx="6">
                  <c:v>(3, 6)</c:v>
                </c:pt>
                <c:pt idx="7">
                  <c:v>(4, 5)</c:v>
                </c:pt>
                <c:pt idx="8">
                  <c:v>(4, 6)</c:v>
                </c:pt>
                <c:pt idx="9">
                  <c:v>(5, 6)</c:v>
                </c:pt>
              </c:strCache>
            </c:strRef>
          </c:cat>
          <c:val>
            <c:numRef>
              <c:f>'ЛР6 Задача 1'!$C$151:$C$160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24</c:v>
                </c:pt>
                <c:pt idx="8">
                  <c:v>24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D-44E7-A596-2AFA7DE5B839}"/>
            </c:ext>
          </c:extLst>
        </c:ser>
        <c:ser>
          <c:idx val="1"/>
          <c:order val="1"/>
          <c:tx>
            <c:v>Продолжительность работы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'ЛР6 Задача 1'!$B$39:$B$48</c:f>
              <c:strCache>
                <c:ptCount val="10"/>
                <c:pt idx="0">
                  <c:v>(1, 2)</c:v>
                </c:pt>
                <c:pt idx="1">
                  <c:v>(1, 3)</c:v>
                </c:pt>
                <c:pt idx="2">
                  <c:v>(1, 4)</c:v>
                </c:pt>
                <c:pt idx="3">
                  <c:v>(2, 4)</c:v>
                </c:pt>
                <c:pt idx="4">
                  <c:v>(2, 5)</c:v>
                </c:pt>
                <c:pt idx="5">
                  <c:v>(3, 4)</c:v>
                </c:pt>
                <c:pt idx="6">
                  <c:v>(3, 6)</c:v>
                </c:pt>
                <c:pt idx="7">
                  <c:v>(4, 5)</c:v>
                </c:pt>
                <c:pt idx="8">
                  <c:v>(4, 6)</c:v>
                </c:pt>
                <c:pt idx="9">
                  <c:v>(5, 6)</c:v>
                </c:pt>
              </c:strCache>
            </c:strRef>
          </c:cat>
          <c:val>
            <c:numRef>
              <c:f>'ЛР6 Задача 1'!$D$151:$D$160</c:f>
              <c:numCache>
                <c:formatCode>General</c:formatCode>
                <c:ptCount val="10"/>
                <c:pt idx="0">
                  <c:v>10</c:v>
                </c:pt>
                <c:pt idx="1">
                  <c:v>8.9999999999999982</c:v>
                </c:pt>
                <c:pt idx="2">
                  <c:v>24</c:v>
                </c:pt>
                <c:pt idx="3">
                  <c:v>9</c:v>
                </c:pt>
                <c:pt idx="4">
                  <c:v>11</c:v>
                </c:pt>
                <c:pt idx="5">
                  <c:v>15</c:v>
                </c:pt>
                <c:pt idx="6">
                  <c:v>10</c:v>
                </c:pt>
                <c:pt idx="7">
                  <c:v>13</c:v>
                </c:pt>
                <c:pt idx="8">
                  <c:v>15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0D-44E7-A596-2AFA7DE5B839}"/>
            </c:ext>
          </c:extLst>
        </c:ser>
        <c:ser>
          <c:idx val="2"/>
          <c:order val="2"/>
          <c:tx>
            <c:v>Резерв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'ЛР6 Задача 1'!$B$39:$B$48</c:f>
              <c:strCache>
                <c:ptCount val="10"/>
                <c:pt idx="0">
                  <c:v>(1, 2)</c:v>
                </c:pt>
                <c:pt idx="1">
                  <c:v>(1, 3)</c:v>
                </c:pt>
                <c:pt idx="2">
                  <c:v>(1, 4)</c:v>
                </c:pt>
                <c:pt idx="3">
                  <c:v>(2, 4)</c:v>
                </c:pt>
                <c:pt idx="4">
                  <c:v>(2, 5)</c:v>
                </c:pt>
                <c:pt idx="5">
                  <c:v>(3, 4)</c:v>
                </c:pt>
                <c:pt idx="6">
                  <c:v>(3, 6)</c:v>
                </c:pt>
                <c:pt idx="7">
                  <c:v>(4, 5)</c:v>
                </c:pt>
                <c:pt idx="8">
                  <c:v>(4, 6)</c:v>
                </c:pt>
                <c:pt idx="9">
                  <c:v>(5, 6)</c:v>
                </c:pt>
              </c:strCache>
            </c:strRef>
          </c:cat>
          <c:val>
            <c:numRef>
              <c:f>'ЛР6 Задача 1'!$E$151:$E$160</c:f>
              <c:numCache>
                <c:formatCode>General</c:formatCode>
                <c:ptCount val="10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16</c:v>
                </c:pt>
                <c:pt idx="5">
                  <c:v>0</c:v>
                </c:pt>
                <c:pt idx="6">
                  <c:v>37</c:v>
                </c:pt>
                <c:pt idx="7">
                  <c:v>0</c:v>
                </c:pt>
                <c:pt idx="8">
                  <c:v>17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0D-44E7-A596-2AFA7DE5B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8604288"/>
        <c:axId val="998604768"/>
      </c:barChart>
      <c:catAx>
        <c:axId val="998604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04768"/>
        <c:crosses val="autoZero"/>
        <c:auto val="1"/>
        <c:lblAlgn val="ctr"/>
        <c:lblOffset val="100"/>
        <c:noMultiLvlLbl val="0"/>
      </c:catAx>
      <c:valAx>
        <c:axId val="99860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60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6627</xdr:colOff>
      <xdr:row>48</xdr:row>
      <xdr:rowOff>185530</xdr:rowOff>
    </xdr:from>
    <xdr:to>
      <xdr:col>5</xdr:col>
      <xdr:colOff>543340</xdr:colOff>
      <xdr:row>61</xdr:row>
      <xdr:rowOff>59634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61C1C-7C21-D889-78AB-B5A9286DF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422081</xdr:colOff>
      <xdr:row>66</xdr:row>
      <xdr:rowOff>156956</xdr:rowOff>
    </xdr:from>
    <xdr:ext cx="2215101" cy="43678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EE0D013-1647-4E13-AEC1-559515D81A86}"/>
                </a:ext>
              </a:extLst>
            </xdr:cNvPr>
            <xdr:cNvSpPr txBox="1"/>
          </xdr:nvSpPr>
          <xdr:spPr>
            <a:xfrm>
              <a:off x="3317681" y="12507982"/>
              <a:ext cx="2215101" cy="436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𝑡</m:t>
                    </m:r>
                    <m:r>
                      <a:rPr lang="en-US" sz="1100" b="0" i="1">
                        <a:latin typeface="Cambria Math"/>
                        <a:ea typeface="Cambria Math"/>
                      </a:rPr>
                      <m:t>°36≤</m:t>
                    </m:r>
                    <m:r>
                      <a:rPr lang="ru-RU" sz="1100" b="0" i="1">
                        <a:latin typeface="Cambria Math" panose="02040503050406030204" pitchFamily="18" charset="0"/>
                        <a:ea typeface="Cambria Math"/>
                      </a:rPr>
                      <m:t>56</m:t>
                    </m:r>
                    <m:r>
                      <a:rPr lang="en-US" sz="1100" b="0" i="1">
                        <a:latin typeface="Cambria Math"/>
                        <a:ea typeface="Cambria Math"/>
                      </a:rPr>
                      <m:t>;</m:t>
                    </m:r>
                    <m:r>
                      <a:rPr lang="en-US" sz="1100" b="0" i="1">
                        <a:latin typeface="Cambria Math"/>
                        <a:ea typeface="Cambria Math"/>
                      </a:rPr>
                      <m:t>𝑡</m:t>
                    </m:r>
                    <m:r>
                      <a:rPr lang="en-US" sz="1100" b="0" i="1">
                        <a:latin typeface="Cambria Math"/>
                        <a:ea typeface="Cambria Math"/>
                      </a:rPr>
                      <m:t>°46≤56;</m:t>
                    </m:r>
                    <m:r>
                      <a:rPr lang="en-US" sz="1100" b="0" i="1">
                        <a:latin typeface="Cambria Math"/>
                        <a:ea typeface="Cambria Math"/>
                      </a:rPr>
                      <m:t>𝑡</m:t>
                    </m:r>
                    <m:r>
                      <a:rPr lang="en-US" sz="1100" b="0" i="1">
                        <a:latin typeface="Cambria Math"/>
                        <a:ea typeface="Cambria Math"/>
                      </a:rPr>
                      <m:t>°56≤56</m:t>
                    </m:r>
                  </m:oMath>
                </m:oMathPara>
              </a14:m>
              <a:endParaRPr lang="ru-RU" sz="1100" b="0">
                <a:ea typeface="Cambria Math"/>
              </a:endParaRPr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EE0D013-1647-4E13-AEC1-559515D81A86}"/>
                </a:ext>
              </a:extLst>
            </xdr:cNvPr>
            <xdr:cNvSpPr txBox="1"/>
          </xdr:nvSpPr>
          <xdr:spPr>
            <a:xfrm>
              <a:off x="3317681" y="12507982"/>
              <a:ext cx="2215101" cy="436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𝑡</a:t>
              </a:r>
              <a:r>
                <a:rPr lang="en-US" sz="1100" b="0" i="0">
                  <a:latin typeface="Cambria Math"/>
                  <a:ea typeface="Cambria Math"/>
                </a:rPr>
                <a:t>°36≤</a:t>
              </a:r>
              <a:r>
                <a:rPr lang="ru-RU" sz="1100" b="0" i="0">
                  <a:latin typeface="Cambria Math" panose="02040503050406030204" pitchFamily="18" charset="0"/>
                  <a:ea typeface="Cambria Math"/>
                </a:rPr>
                <a:t>56</a:t>
              </a:r>
              <a:r>
                <a:rPr lang="en-US" sz="1100" b="0" i="0">
                  <a:latin typeface="Cambria Math"/>
                  <a:ea typeface="Cambria Math"/>
                </a:rPr>
                <a:t>;𝑡°46≤</a:t>
              </a:r>
              <a:r>
                <a:rPr lang="ru-RU" sz="1100" b="0" i="0">
                  <a:latin typeface="Cambria Math" panose="02040503050406030204" pitchFamily="18" charset="0"/>
                  <a:ea typeface="Cambria Math"/>
                </a:rPr>
                <a:t>56</a:t>
              </a:r>
              <a:r>
                <a:rPr lang="en-US" sz="1100" b="0" i="0">
                  <a:latin typeface="Cambria Math"/>
                  <a:ea typeface="Cambria Math"/>
                </a:rPr>
                <a:t>;𝑡°56≤</a:t>
              </a:r>
              <a:r>
                <a:rPr lang="ru-RU" sz="1100" b="0" i="0">
                  <a:latin typeface="Cambria Math" panose="02040503050406030204" pitchFamily="18" charset="0"/>
                  <a:ea typeface="Cambria Math"/>
                </a:rPr>
                <a:t>56</a:t>
              </a:r>
              <a:endParaRPr lang="ru-RU" sz="1100" b="0">
                <a:ea typeface="Cambria Math"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523875</xdr:colOff>
      <xdr:row>68</xdr:row>
      <xdr:rowOff>142875</xdr:rowOff>
    </xdr:from>
    <xdr:ext cx="1331430" cy="22818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D3B1F93-74C3-4522-8AD7-6E51432C715C}"/>
                </a:ext>
              </a:extLst>
            </xdr:cNvPr>
            <xdr:cNvSpPr txBox="1"/>
          </xdr:nvSpPr>
          <xdr:spPr>
            <a:xfrm>
              <a:off x="2617718" y="12898092"/>
              <a:ext cx="1331430" cy="228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/>
                    </a:rPr>
                    <m:t>𝑡</m:t>
                  </m:r>
                  <m:r>
                    <a:rPr lang="en-US" sz="1100" b="0" i="1">
                      <a:latin typeface="Cambria Math"/>
                      <a:ea typeface="Cambria Math"/>
                    </a:rPr>
                    <m:t>°12−</m:t>
                  </m:r>
                  <m:sSup>
                    <m:sSupPr>
                      <m:ctrlPr>
                        <a:rPr lang="en-US" sz="1100" b="0" i="1">
                          <a:latin typeface="Cambria Math" panose="02040503050406030204" pitchFamily="18" charset="0"/>
                          <a:ea typeface="Cambria Math"/>
                        </a:rPr>
                      </m:ctrlPr>
                    </m:sSupPr>
                    <m:e>
                      <m:r>
                        <a:rPr lang="en-US" sz="1100" b="0" i="1">
                          <a:latin typeface="Cambria Math"/>
                          <a:ea typeface="Cambria Math"/>
                        </a:rPr>
                        <m:t>𝑡</m:t>
                      </m:r>
                    </m:e>
                    <m:sup>
                      <m:r>
                        <a:rPr lang="ru-RU" sz="1100" b="0" i="1">
                          <a:latin typeface="Cambria Math"/>
                          <a:ea typeface="Cambria Math"/>
                        </a:rPr>
                        <m:t>н</m:t>
                      </m:r>
                    </m:sup>
                  </m:sSup>
                </m:oMath>
              </a14:m>
              <a:r>
                <a:rPr lang="ru-RU" sz="1100"/>
                <a:t>12</a:t>
              </a:r>
              <a14:m>
                <m:oMath xmlns:m="http://schemas.openxmlformats.org/officeDocument/2006/math">
                  <m:r>
                    <a:rPr lang="ru-RU" sz="1100" b="0" i="0">
                      <a:latin typeface="Cambria Math"/>
                      <a:ea typeface="Cambria Math"/>
                    </a:rPr>
                    <m:t> </m:t>
                  </m:r>
                  <m:r>
                    <a:rPr lang="ru-RU" sz="1100" i="1">
                      <a:latin typeface="Cambria Math"/>
                      <a:ea typeface="Cambria Math"/>
                    </a:rPr>
                    <m:t>≥</m:t>
                  </m:r>
                  <m:r>
                    <a:rPr lang="ru-RU" sz="1100" b="0" i="1">
                      <a:latin typeface="Cambria Math" panose="02040503050406030204" pitchFamily="18" charset="0"/>
                      <a:ea typeface="Cambria Math"/>
                    </a:rPr>
                    <m:t>5</m:t>
                  </m:r>
                </m:oMath>
              </a14:m>
              <a:endParaRPr lang="ru-RU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D3B1F93-74C3-4522-8AD7-6E51432C715C}"/>
                </a:ext>
              </a:extLst>
            </xdr:cNvPr>
            <xdr:cNvSpPr txBox="1"/>
          </xdr:nvSpPr>
          <xdr:spPr>
            <a:xfrm>
              <a:off x="2617718" y="12898092"/>
              <a:ext cx="1331430" cy="2281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 b="0" i="0">
                  <a:latin typeface="Cambria Math"/>
                </a:rPr>
                <a:t>𝑡</a:t>
              </a:r>
              <a:r>
                <a:rPr lang="en-US" sz="1100" b="0" i="0">
                  <a:latin typeface="Cambria Math"/>
                  <a:ea typeface="Cambria Math"/>
                </a:rPr>
                <a:t>°12−𝑡</a:t>
              </a:r>
              <a:r>
                <a:rPr lang="en-US" sz="1100" b="0" i="0">
                  <a:latin typeface="Cambria Math" panose="02040503050406030204" pitchFamily="18" charset="0"/>
                  <a:ea typeface="Cambria Math"/>
                </a:rPr>
                <a:t>^</a:t>
              </a:r>
              <a:r>
                <a:rPr lang="ru-RU" sz="1100" b="0" i="0">
                  <a:latin typeface="Cambria Math"/>
                  <a:ea typeface="Cambria Math"/>
                </a:rPr>
                <a:t>н</a:t>
              </a:r>
              <a:r>
                <a:rPr lang="ru-RU" sz="1100"/>
                <a:t>12</a:t>
              </a:r>
              <a:r>
                <a:rPr lang="ru-RU" sz="1100" b="0" i="0">
                  <a:latin typeface="Cambria Math"/>
                  <a:ea typeface="Cambria Math"/>
                </a:rPr>
                <a:t> </a:t>
              </a:r>
              <a:r>
                <a:rPr lang="ru-RU" sz="1100" i="0">
                  <a:latin typeface="Cambria Math"/>
                  <a:ea typeface="Cambria Math"/>
                </a:rPr>
                <a:t>≥</a:t>
              </a:r>
              <a:r>
                <a:rPr lang="ru-RU" sz="1100" b="0" i="0">
                  <a:latin typeface="Cambria Math" panose="02040503050406030204" pitchFamily="18" charset="0"/>
                  <a:ea typeface="Cambria Math"/>
                </a:rPr>
                <a:t>5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495300</xdr:colOff>
      <xdr:row>69</xdr:row>
      <xdr:rowOff>139065</xdr:rowOff>
    </xdr:from>
    <xdr:ext cx="131064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CF8EE55-7A1C-477D-9D34-484557701FFD}"/>
                </a:ext>
              </a:extLst>
            </xdr:cNvPr>
            <xdr:cNvSpPr txBox="1"/>
          </xdr:nvSpPr>
          <xdr:spPr>
            <a:xfrm>
              <a:off x="1714500" y="15394305"/>
              <a:ext cx="131064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°13−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ru-RU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1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3 </m:t>
                    </m:r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≥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9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CF8EE55-7A1C-477D-9D34-484557701FFD}"/>
                </a:ext>
              </a:extLst>
            </xdr:cNvPr>
            <xdr:cNvSpPr txBox="1"/>
          </xdr:nvSpPr>
          <xdr:spPr>
            <a:xfrm>
              <a:off x="1714500" y="15394305"/>
              <a:ext cx="131064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𝑡°13−𝑡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 3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518160</xdr:colOff>
      <xdr:row>70</xdr:row>
      <xdr:rowOff>139065</xdr:rowOff>
    </xdr:from>
    <xdr:ext cx="1272540" cy="43678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6FB52C6-7361-41E9-BA8C-DEA8118363AC}"/>
                </a:ext>
              </a:extLst>
            </xdr:cNvPr>
            <xdr:cNvSpPr txBox="1"/>
          </xdr:nvSpPr>
          <xdr:spPr>
            <a:xfrm>
              <a:off x="1737360" y="15577185"/>
              <a:ext cx="1272540" cy="436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°14−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ru-RU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1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4 </m:t>
                    </m:r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≥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11</m:t>
                    </m:r>
                  </m:oMath>
                </m:oMathPara>
              </a14:m>
              <a:endParaRPr lang="ru-RU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6FB52C6-7361-41E9-BA8C-DEA8118363AC}"/>
                </a:ext>
              </a:extLst>
            </xdr:cNvPr>
            <xdr:cNvSpPr txBox="1"/>
          </xdr:nvSpPr>
          <xdr:spPr>
            <a:xfrm>
              <a:off x="1737360" y="15577185"/>
              <a:ext cx="1272540" cy="436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𝑡°14−𝑡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 4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11</a:t>
              </a:r>
              <a:endParaRPr lang="ru-RU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525780</xdr:colOff>
      <xdr:row>71</xdr:row>
      <xdr:rowOff>146685</xdr:rowOff>
    </xdr:from>
    <xdr:ext cx="1203960" cy="43678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962266E-FEDE-44C7-B711-D5EABEF0C3F6}"/>
                </a:ext>
              </a:extLst>
            </xdr:cNvPr>
            <xdr:cNvSpPr txBox="1"/>
          </xdr:nvSpPr>
          <xdr:spPr>
            <a:xfrm>
              <a:off x="1744980" y="15767685"/>
              <a:ext cx="1203960" cy="436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°24−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ru-RU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2</m:t>
                    </m:r>
                    <m:r>
                      <m:rPr>
                        <m:nor/>
                      </m:rPr>
                      <a:rPr lang="ru-RU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4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≥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6</m:t>
                    </m:r>
                  </m:oMath>
                </m:oMathPara>
              </a14:m>
              <a:endParaRPr lang="ru-RU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962266E-FEDE-44C7-B711-D5EABEF0C3F6}"/>
                </a:ext>
              </a:extLst>
            </xdr:cNvPr>
            <xdr:cNvSpPr txBox="1"/>
          </xdr:nvSpPr>
          <xdr:spPr>
            <a:xfrm>
              <a:off x="1744980" y="15767685"/>
              <a:ext cx="1203960" cy="436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𝑡°24−𝑡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endParaRPr lang="ru-RU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533400</xdr:colOff>
      <xdr:row>72</xdr:row>
      <xdr:rowOff>158115</xdr:rowOff>
    </xdr:from>
    <xdr:ext cx="1272540" cy="43678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880C9AE-5B02-4B94-A8AD-90BB11F1D580}"/>
                </a:ext>
              </a:extLst>
            </xdr:cNvPr>
            <xdr:cNvSpPr txBox="1"/>
          </xdr:nvSpPr>
          <xdr:spPr>
            <a:xfrm>
              <a:off x="1752600" y="15961995"/>
              <a:ext cx="1272540" cy="436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°25−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ru-RU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2</m:t>
                    </m:r>
                    <m:r>
                      <m:rPr>
                        <m:nor/>
                      </m:rPr>
                      <a:rPr lang="ru-RU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5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≥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9</m:t>
                    </m:r>
                  </m:oMath>
                </m:oMathPara>
              </a14:m>
              <a:endParaRPr lang="ru-RU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880C9AE-5B02-4B94-A8AD-90BB11F1D580}"/>
                </a:ext>
              </a:extLst>
            </xdr:cNvPr>
            <xdr:cNvSpPr txBox="1"/>
          </xdr:nvSpPr>
          <xdr:spPr>
            <a:xfrm>
              <a:off x="1752600" y="15961995"/>
              <a:ext cx="1272540" cy="4367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𝑡°25−𝑡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</a:t>
              </a:r>
              <a:endParaRPr lang="ru-RU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516255</xdr:colOff>
      <xdr:row>73</xdr:row>
      <xdr:rowOff>158115</xdr:rowOff>
    </xdr:from>
    <xdr:ext cx="139827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DEB4C0B-5A2E-4831-ADF5-AD3C140A5C56}"/>
                </a:ext>
              </a:extLst>
            </xdr:cNvPr>
            <xdr:cNvSpPr txBox="1"/>
          </xdr:nvSpPr>
          <xdr:spPr>
            <a:xfrm>
              <a:off x="1735455" y="16144875"/>
              <a:ext cx="139827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𝑡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°34−</m:t>
                  </m:r>
                  <m:sSup>
                    <m:sSup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𝑡</m:t>
                      </m:r>
                    </m:e>
                    <m:sup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н</m:t>
                      </m:r>
                    </m:sup>
                  </m:sSup>
                  <m:r>
                    <m:rPr>
                      <m:nor/>
                    </m:rPr>
                    <a:rPr lang="ru-RU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34</m:t>
                  </m:r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 </m:t>
                  </m:r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≥</m:t>
                  </m:r>
                </m:oMath>
              </a14:m>
              <a:r>
                <a:rPr lang="ru-RU" sz="1100"/>
                <a:t> 12</a:t>
              </a:r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DEB4C0B-5A2E-4831-ADF5-AD3C140A5C56}"/>
                </a:ext>
              </a:extLst>
            </xdr:cNvPr>
            <xdr:cNvSpPr txBox="1"/>
          </xdr:nvSpPr>
          <xdr:spPr>
            <a:xfrm>
              <a:off x="1735455" y="16144875"/>
              <a:ext cx="139827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𝑡°34−𝑡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"34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≥</a:t>
              </a:r>
              <a:r>
                <a:rPr lang="ru-RU" sz="1100"/>
                <a:t> 12</a:t>
              </a:r>
            </a:p>
          </xdr:txBody>
        </xdr:sp>
      </mc:Fallback>
    </mc:AlternateContent>
    <xdr:clientData/>
  </xdr:oneCellAnchor>
  <xdr:oneCellAnchor>
    <xdr:from>
      <xdr:col>2</xdr:col>
      <xdr:colOff>508635</xdr:colOff>
      <xdr:row>74</xdr:row>
      <xdr:rowOff>150495</xdr:rowOff>
    </xdr:from>
    <xdr:ext cx="142494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B16CD97-9978-409D-86F5-06AF2782BDE2}"/>
                </a:ext>
              </a:extLst>
            </xdr:cNvPr>
            <xdr:cNvSpPr txBox="1"/>
          </xdr:nvSpPr>
          <xdr:spPr>
            <a:xfrm>
              <a:off x="1727835" y="16320135"/>
              <a:ext cx="142494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𝑡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°36−</m:t>
                  </m:r>
                  <m:sSup>
                    <m:sSup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𝑡</m:t>
                      </m:r>
                    </m:e>
                    <m:sup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н</m:t>
                      </m:r>
                    </m:sup>
                  </m:sSup>
                  <m:r>
                    <m:rPr>
                      <m:nor/>
                    </m:rPr>
                    <a:rPr lang="ru-RU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36</m:t>
                  </m:r>
                  <m:r>
                    <a:rPr lang="ru-RU" sz="1100" b="0" i="0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 </m:t>
                  </m:r>
                  <m:r>
                    <a:rPr lang="ru-RU" sz="1100" i="1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≥</m:t>
                  </m:r>
                </m:oMath>
              </a14:m>
              <a:r>
                <a:rPr lang="ru-RU" sz="1100"/>
                <a:t>7</a:t>
              </a:r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B16CD97-9978-409D-86F5-06AF2782BDE2}"/>
                </a:ext>
              </a:extLst>
            </xdr:cNvPr>
            <xdr:cNvSpPr txBox="1"/>
          </xdr:nvSpPr>
          <xdr:spPr>
            <a:xfrm>
              <a:off x="1727835" y="16320135"/>
              <a:ext cx="142494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𝑡°36−𝑡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"36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≥</a:t>
              </a:r>
              <a:r>
                <a:rPr lang="ru-RU" sz="1100"/>
                <a:t>7</a:t>
              </a:r>
            </a:p>
          </xdr:txBody>
        </xdr:sp>
      </mc:Fallback>
    </mc:AlternateContent>
    <xdr:clientData/>
  </xdr:oneCellAnchor>
  <xdr:oneCellAnchor>
    <xdr:from>
      <xdr:col>2</xdr:col>
      <xdr:colOff>457200</xdr:colOff>
      <xdr:row>75</xdr:row>
      <xdr:rowOff>154305</xdr:rowOff>
    </xdr:from>
    <xdr:ext cx="125730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24E4707-D0D2-4392-B178-4C96DA8A7F27}"/>
                </a:ext>
              </a:extLst>
            </xdr:cNvPr>
            <xdr:cNvSpPr txBox="1"/>
          </xdr:nvSpPr>
          <xdr:spPr>
            <a:xfrm>
              <a:off x="1676400" y="16506825"/>
              <a:ext cx="125730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°45−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ru-RU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45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≥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13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24E4707-D0D2-4392-B178-4C96DA8A7F27}"/>
                </a:ext>
              </a:extLst>
            </xdr:cNvPr>
            <xdr:cNvSpPr txBox="1"/>
          </xdr:nvSpPr>
          <xdr:spPr>
            <a:xfrm>
              <a:off x="1676400" y="16506825"/>
              <a:ext cx="125730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𝑡°45−𝑡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"45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487680</xdr:colOff>
      <xdr:row>76</xdr:row>
      <xdr:rowOff>131445</xdr:rowOff>
    </xdr:from>
    <xdr:ext cx="128016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55F810A-9D6C-409B-A2E4-4B7D099DE5A7}"/>
                </a:ext>
              </a:extLst>
            </xdr:cNvPr>
            <xdr:cNvSpPr txBox="1"/>
          </xdr:nvSpPr>
          <xdr:spPr>
            <a:xfrm>
              <a:off x="1706880" y="16666845"/>
              <a:ext cx="12801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°46−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ru-RU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46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≥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13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55F810A-9D6C-409B-A2E4-4B7D099DE5A7}"/>
                </a:ext>
              </a:extLst>
            </xdr:cNvPr>
            <xdr:cNvSpPr txBox="1"/>
          </xdr:nvSpPr>
          <xdr:spPr>
            <a:xfrm>
              <a:off x="1706880" y="16666845"/>
              <a:ext cx="128016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𝑡°46−𝑡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"46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502920</xdr:colOff>
      <xdr:row>77</xdr:row>
      <xdr:rowOff>131445</xdr:rowOff>
    </xdr:from>
    <xdr:ext cx="125730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8F632E9-887C-458E-97EA-44C4979AA518}"/>
                </a:ext>
              </a:extLst>
            </xdr:cNvPr>
            <xdr:cNvSpPr txBox="1"/>
          </xdr:nvSpPr>
          <xdr:spPr>
            <a:xfrm>
              <a:off x="1722120" y="16849725"/>
              <a:ext cx="125730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°56−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ru-RU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56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 </m:t>
                    </m:r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≥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15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8F632E9-887C-458E-97EA-44C4979AA518}"/>
                </a:ext>
              </a:extLst>
            </xdr:cNvPr>
            <xdr:cNvSpPr txBox="1"/>
          </xdr:nvSpPr>
          <xdr:spPr>
            <a:xfrm>
              <a:off x="1722120" y="16849725"/>
              <a:ext cx="125730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𝑡°56−𝑡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"56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 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15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6</xdr:col>
      <xdr:colOff>72887</xdr:colOff>
      <xdr:row>68</xdr:row>
      <xdr:rowOff>145609</xdr:rowOff>
    </xdr:from>
    <xdr:ext cx="1588024" cy="29833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DBB4AAA-0551-4D99-94B2-2ECBC18E1CAC}"/>
                </a:ext>
              </a:extLst>
            </xdr:cNvPr>
            <xdr:cNvSpPr txBox="1"/>
          </xdr:nvSpPr>
          <xdr:spPr>
            <a:xfrm>
              <a:off x="5519530" y="12880948"/>
              <a:ext cx="1588024" cy="298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°≥0;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Cambria Math"/>
                        <a:cs typeface="+mn-cs"/>
                      </a:rPr>
                      <m:t>≥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Cambria Math"/>
                        <a:cs typeface="+mn-cs"/>
                      </a:rPr>
                      <m:t>0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;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𝑋𝑖𝑗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Cambria Math"/>
                        <a:cs typeface="+mn-cs"/>
                      </a:rPr>
                      <m:t>≥0</m:t>
                    </m:r>
                  </m:oMath>
                </m:oMathPara>
              </a14:m>
              <a:endParaRPr lang="ru-RU">
                <a:effectLst/>
              </a:endParaRPr>
            </a:p>
            <a:p>
              <a:endParaRPr lang="ru-RU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DBB4AAA-0551-4D99-94B2-2ECBC18E1CAC}"/>
                </a:ext>
              </a:extLst>
            </xdr:cNvPr>
            <xdr:cNvSpPr txBox="1"/>
          </xdr:nvSpPr>
          <xdr:spPr>
            <a:xfrm>
              <a:off x="5519530" y="12880948"/>
              <a:ext cx="1588024" cy="298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𝑡°≥0;𝑡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Cambria Math"/>
                  <a:cs typeface="+mn-cs"/>
                </a:rPr>
                <a:t>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Cambria Math"/>
                  <a:cs typeface="+mn-cs"/>
                </a:rPr>
                <a:t>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;𝑋𝑖𝑗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Cambria Math"/>
                  <a:cs typeface="+mn-cs"/>
                </a:rPr>
                <a:t>≥0</a:t>
              </a:r>
              <a:endParaRPr lang="ru-RU">
                <a:effectLst/>
              </a:endParaRPr>
            </a:p>
            <a:p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53340</xdr:colOff>
      <xdr:row>82</xdr:row>
      <xdr:rowOff>0</xdr:rowOff>
    </xdr:from>
    <xdr:ext cx="189738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DC35652-1DAF-423F-90C1-64C895F6111C}"/>
                </a:ext>
              </a:extLst>
            </xdr:cNvPr>
            <xdr:cNvSpPr txBox="1"/>
          </xdr:nvSpPr>
          <xdr:spPr>
            <a:xfrm>
              <a:off x="662940" y="17632680"/>
              <a:ext cx="189738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°12−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1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2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5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−0,0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8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X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12 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DC35652-1DAF-423F-90C1-64C895F6111C}"/>
                </a:ext>
              </a:extLst>
            </xdr:cNvPr>
            <xdr:cNvSpPr txBox="1"/>
          </xdr:nvSpPr>
          <xdr:spPr>
            <a:xfrm>
              <a:off x="662940" y="17632680"/>
              <a:ext cx="189738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𝑡°12−𝑡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 2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−0,0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X12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82</xdr:row>
      <xdr:rowOff>175260</xdr:rowOff>
    </xdr:from>
    <xdr:ext cx="198120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E435E44-92BD-409D-81BC-B6DF72E839C5}"/>
                </a:ext>
              </a:extLst>
            </xdr:cNvPr>
            <xdr:cNvSpPr txBox="1"/>
          </xdr:nvSpPr>
          <xdr:spPr>
            <a:xfrm>
              <a:off x="609600" y="17807940"/>
              <a:ext cx="198120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°13−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13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9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−0,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2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5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X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13 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6E435E44-92BD-409D-81BC-B6DF72E839C5}"/>
                </a:ext>
              </a:extLst>
            </xdr:cNvPr>
            <xdr:cNvSpPr txBox="1"/>
          </xdr:nvSpPr>
          <xdr:spPr>
            <a:xfrm>
              <a:off x="609600" y="17807940"/>
              <a:ext cx="198120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𝑡°13−𝑡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"13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"=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−0,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2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X13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53340</xdr:colOff>
      <xdr:row>83</xdr:row>
      <xdr:rowOff>175260</xdr:rowOff>
    </xdr:from>
    <xdr:ext cx="194310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A35466E-3A85-44FA-8877-3ADB0CFA953E}"/>
                </a:ext>
              </a:extLst>
            </xdr:cNvPr>
            <xdr:cNvSpPr txBox="1"/>
          </xdr:nvSpPr>
          <xdr:spPr>
            <a:xfrm>
              <a:off x="662940" y="17990820"/>
              <a:ext cx="194310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°14−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14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11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−0,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X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14 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A35466E-3A85-44FA-8877-3ADB0CFA953E}"/>
                </a:ext>
              </a:extLst>
            </xdr:cNvPr>
            <xdr:cNvSpPr txBox="1"/>
          </xdr:nvSpPr>
          <xdr:spPr>
            <a:xfrm>
              <a:off x="662940" y="17990820"/>
              <a:ext cx="194310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𝑡°14−𝑡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"14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"=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−0,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X14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60960</xdr:colOff>
      <xdr:row>84</xdr:row>
      <xdr:rowOff>175260</xdr:rowOff>
    </xdr:from>
    <xdr:ext cx="188214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4B8C9D4-667B-4CDA-8F53-1135EBD0DE40}"/>
                </a:ext>
              </a:extLst>
            </xdr:cNvPr>
            <xdr:cNvSpPr txBox="1"/>
          </xdr:nvSpPr>
          <xdr:spPr>
            <a:xfrm>
              <a:off x="670560" y="18173700"/>
              <a:ext cx="188214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°24−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2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4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6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−0,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15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X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24 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4B8C9D4-667B-4CDA-8F53-1135EBD0DE40}"/>
                </a:ext>
              </a:extLst>
            </xdr:cNvPr>
            <xdr:cNvSpPr txBox="1"/>
          </xdr:nvSpPr>
          <xdr:spPr>
            <a:xfrm>
              <a:off x="670560" y="18173700"/>
              <a:ext cx="188214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𝑡°24−𝑡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 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4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−0,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X24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30480</xdr:colOff>
      <xdr:row>85</xdr:row>
      <xdr:rowOff>182880</xdr:rowOff>
    </xdr:from>
    <xdr:ext cx="194310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6497132-3E87-4C8A-86D7-318DBDE33DC2}"/>
                </a:ext>
              </a:extLst>
            </xdr:cNvPr>
            <xdr:cNvSpPr txBox="1"/>
          </xdr:nvSpPr>
          <xdr:spPr>
            <a:xfrm>
              <a:off x="640080" y="18364200"/>
              <a:ext cx="194310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°25−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2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5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9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−0,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3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X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25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6497132-3E87-4C8A-86D7-318DBDE33DC2}"/>
                </a:ext>
              </a:extLst>
            </xdr:cNvPr>
            <xdr:cNvSpPr txBox="1"/>
          </xdr:nvSpPr>
          <xdr:spPr>
            <a:xfrm>
              <a:off x="640080" y="18364200"/>
              <a:ext cx="194310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𝑡°25−𝑡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 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5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9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−0,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X25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60960</xdr:colOff>
      <xdr:row>86</xdr:row>
      <xdr:rowOff>175260</xdr:rowOff>
    </xdr:from>
    <xdr:ext cx="190119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53BF3E-941B-4D5C-A831-1639D5F32287}"/>
                </a:ext>
              </a:extLst>
            </xdr:cNvPr>
            <xdr:cNvSpPr txBox="1"/>
          </xdr:nvSpPr>
          <xdr:spPr>
            <a:xfrm>
              <a:off x="670560" y="18539460"/>
              <a:ext cx="190119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°34−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34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−0,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X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34 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5E53BF3E-941B-4D5C-A831-1639D5F32287}"/>
                </a:ext>
              </a:extLst>
            </xdr:cNvPr>
            <xdr:cNvSpPr txBox="1"/>
          </xdr:nvSpPr>
          <xdr:spPr>
            <a:xfrm>
              <a:off x="670560" y="18539460"/>
              <a:ext cx="190119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𝑡°34−𝑡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"34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−0,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X34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38100</xdr:colOff>
      <xdr:row>87</xdr:row>
      <xdr:rowOff>167640</xdr:rowOff>
    </xdr:from>
    <xdr:ext cx="193548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E221735-2269-4D08-9C2A-11AFD459FDBF}"/>
                </a:ext>
              </a:extLst>
            </xdr:cNvPr>
            <xdr:cNvSpPr txBox="1"/>
          </xdr:nvSpPr>
          <xdr:spPr>
            <a:xfrm>
              <a:off x="647700" y="18714720"/>
              <a:ext cx="193548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°36−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36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7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−0,0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8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X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36 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FE221735-2269-4D08-9C2A-11AFD459FDBF}"/>
                </a:ext>
              </a:extLst>
            </xdr:cNvPr>
            <xdr:cNvSpPr txBox="1"/>
          </xdr:nvSpPr>
          <xdr:spPr>
            <a:xfrm>
              <a:off x="647700" y="18714720"/>
              <a:ext cx="193548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𝑡°36−𝑡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"36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"=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7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−0,0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X36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24765</xdr:colOff>
      <xdr:row>89</xdr:row>
      <xdr:rowOff>0</xdr:rowOff>
    </xdr:from>
    <xdr:ext cx="197358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F5BBA32D-D4B9-4B52-9C63-C8F883651F78}"/>
                </a:ext>
              </a:extLst>
            </xdr:cNvPr>
            <xdr:cNvSpPr txBox="1"/>
          </xdr:nvSpPr>
          <xdr:spPr>
            <a:xfrm>
              <a:off x="634365" y="18912840"/>
              <a:ext cx="197358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°45−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4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5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1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3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−0,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4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X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45 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F5BBA32D-D4B9-4B52-9C63-C8F883651F78}"/>
                </a:ext>
              </a:extLst>
            </xdr:cNvPr>
            <xdr:cNvSpPr txBox="1"/>
          </xdr:nvSpPr>
          <xdr:spPr>
            <a:xfrm>
              <a:off x="634365" y="18912840"/>
              <a:ext cx="197358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𝑡°45−𝑡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 5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−0,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X45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45720</xdr:colOff>
      <xdr:row>90</xdr:row>
      <xdr:rowOff>0</xdr:rowOff>
    </xdr:from>
    <xdr:ext cx="193548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83F9CA2-B4DD-48A3-A0B2-D332CCF626C8}"/>
                </a:ext>
              </a:extLst>
            </xdr:cNvPr>
            <xdr:cNvSpPr txBox="1"/>
          </xdr:nvSpPr>
          <xdr:spPr>
            <a:xfrm>
              <a:off x="655320" y="19095720"/>
              <a:ext cx="193548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°46−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46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1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3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−0,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X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46 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B83F9CA2-B4DD-48A3-A0B2-D332CCF626C8}"/>
                </a:ext>
              </a:extLst>
            </xdr:cNvPr>
            <xdr:cNvSpPr txBox="1"/>
          </xdr:nvSpPr>
          <xdr:spPr>
            <a:xfrm>
              <a:off x="655320" y="19095720"/>
              <a:ext cx="193548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𝑡°46−𝑡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"46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−0,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X46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60960</xdr:colOff>
      <xdr:row>90</xdr:row>
      <xdr:rowOff>167640</xdr:rowOff>
    </xdr:from>
    <xdr:ext cx="1935480" cy="26456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6702F519-D1EE-41D0-A182-62A0054AA9F7}"/>
                </a:ext>
              </a:extLst>
            </xdr:cNvPr>
            <xdr:cNvSpPr txBox="1"/>
          </xdr:nvSpPr>
          <xdr:spPr>
            <a:xfrm>
              <a:off x="670560" y="19263360"/>
              <a:ext cx="193548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°56−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56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1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5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−0,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</m:t>
                    </m:r>
                    <m:r>
                      <m:rPr>
                        <m:sty m:val="p"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X</m:t>
                    </m:r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56 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6702F519-D1EE-41D0-A182-62A0054AA9F7}"/>
                </a:ext>
              </a:extLst>
            </xdr:cNvPr>
            <xdr:cNvSpPr txBox="1"/>
          </xdr:nvSpPr>
          <xdr:spPr>
            <a:xfrm>
              <a:off x="670560" y="19263360"/>
              <a:ext cx="1935480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𝑡°56−𝑡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"56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−0,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X56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95</xdr:row>
      <xdr:rowOff>0</xdr:rowOff>
    </xdr:from>
    <xdr:ext cx="914400" cy="267573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2FA23479-DA34-4F0D-9B0F-97B21C61AF3F}"/>
                </a:ext>
              </a:extLst>
            </xdr:cNvPr>
            <xdr:cNvSpPr txBox="1"/>
          </xdr:nvSpPr>
          <xdr:spPr>
            <a:xfrm>
              <a:off x="609600" y="20010120"/>
              <a:ext cx="914400" cy="26757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   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𝑡</m:t>
                      </m:r>
                    </m:e>
                    <m:sup>
                      <m:r>
                        <a:rPr lang="ru-RU" sz="1100" b="0" i="1">
                          <a:solidFill>
                            <a:schemeClr val="tx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н</m:t>
                      </m:r>
                    </m:sup>
                  </m:sSup>
                  <m:r>
                    <m:rPr>
                      <m:nor/>
                    </m:rPr>
                    <a:rPr lang="en-US" sz="1100" b="0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1</m:t>
                  </m:r>
                  <m:r>
                    <a:rPr lang="en-US" sz="1100" b="0" i="0">
                      <a:solidFill>
                        <a:schemeClr val="tx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2</m:t>
                  </m:r>
                </m:oMath>
              </a14:m>
              <a:r>
                <a:rPr lang="ru-RU" sz="1100"/>
                <a:t> </a:t>
              </a:r>
              <a14:m>
                <m:oMath xmlns:m="http://schemas.openxmlformats.org/officeDocument/2006/math">
                  <m:r>
                    <a:rPr lang="ru-RU" sz="1100" i="1">
                      <a:latin typeface="Cambria Math"/>
                      <a:ea typeface="Cambria Math"/>
                    </a:rPr>
                    <m:t>≥</m:t>
                  </m:r>
                </m:oMath>
              </a14:m>
              <a:r>
                <a:rPr lang="ru-RU" sz="1100"/>
                <a:t> 0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1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3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Cambria Math"/>
                        <a:cs typeface="+mn-cs"/>
                      </a:rPr>
                      <m:t>≥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0</m:t>
                    </m:r>
                  </m:oMath>
                </m:oMathPara>
              </a14:m>
              <a:endParaRPr lang="ru-RU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1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4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Cambria Math"/>
                        <a:cs typeface="+mn-cs"/>
                      </a:rPr>
                      <m:t>≥</m:t>
                    </m:r>
                    <m:r>
                      <a:rPr lang="ru-RU" sz="1100" b="0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0</m:t>
                    </m:r>
                  </m:oMath>
                </m:oMathPara>
              </a14:m>
              <a:endParaRPr lang="ru-RU" sz="1100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ru-RU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24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Cambria Math"/>
                        <a:cs typeface="+mn-cs"/>
                      </a:rPr>
                      <m:t>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Cambria Math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Cambria Math"/>
                        <a:cs typeface="+mn-cs"/>
                      </a:rPr>
                      <m:t>°12</m:t>
                    </m:r>
                  </m:oMath>
                </m:oMathPara>
              </a14:m>
              <a:endParaRPr lang="en-US" sz="1100"/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3</m:t>
                    </m:r>
                    <m:r>
                      <m:rPr>
                        <m:nor/>
                      </m:rPr>
                      <a:rPr lang="ru-RU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4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°13</m:t>
                    </m:r>
                  </m:oMath>
                </m:oMathPara>
              </a14:m>
              <a:endParaRPr lang="en-US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36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°13</m:t>
                    </m:r>
                  </m:oMath>
                </m:oMathPara>
              </a14:m>
              <a:endParaRPr lang="en-US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ru-RU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2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5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°12</m:t>
                    </m:r>
                  </m:oMath>
                </m:oMathPara>
              </a14:m>
              <a:endParaRPr lang="ru-RU">
                <a:effectLst/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ru-RU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4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6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°34</m:t>
                    </m:r>
                  </m:oMath>
                </m:oMathPara>
              </a14:m>
              <a:endParaRPr lang="ru-RU">
                <a:effectLst/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ru-RU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4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6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°24</m:t>
                    </m:r>
                  </m:oMath>
                </m:oMathPara>
              </a14:m>
              <a:endParaRPr lang="en-US">
                <a:effectLst/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ru-RU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4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6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°14</m:t>
                    </m:r>
                  </m:oMath>
                </m:oMathPara>
              </a14:m>
              <a:endParaRPr lang="ru-RU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ru-RU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4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5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°34</m:t>
                    </m:r>
                  </m:oMath>
                </m:oMathPara>
              </a14:m>
              <a:endParaRPr lang="ru-RU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ru-RU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45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°24</m:t>
                    </m:r>
                  </m:oMath>
                </m:oMathPara>
              </a14:m>
              <a:endParaRPr lang="en-US">
                <a:effectLst/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ru-RU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4</m:t>
                    </m:r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5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°14</m:t>
                    </m:r>
                  </m:oMath>
                </m:oMathPara>
              </a14:m>
              <a:endParaRPr lang="ru-RU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56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°45</m:t>
                    </m:r>
                  </m:oMath>
                </m:oMathPara>
              </a14:m>
              <a:endParaRPr lang="ru-RU">
                <a:effectLst/>
              </a:endParaRPr>
            </a:p>
            <a:p>
              <a:pPr eaLnBrk="1" fontAlgn="auto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𝑡</m:t>
                        </m:r>
                      </m:e>
                      <m:sup>
                        <m:r>
                          <a:rPr lang="ru-RU" sz="1100" b="0" i="1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н</m:t>
                        </m:r>
                      </m:sup>
                    </m:sSup>
                    <m:r>
                      <m:rPr>
                        <m:nor/>
                      </m:rP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56</m:t>
                    </m:r>
                    <m:r>
                      <a:rPr lang="ru-RU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𝑡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°25</m:t>
                    </m:r>
                  </m:oMath>
                </m:oMathPara>
              </a14:m>
              <a:endParaRPr lang="ru-RU">
                <a:effectLst/>
              </a:endParaRPr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2FA23479-DA34-4F0D-9B0F-97B21C61AF3F}"/>
                </a:ext>
              </a:extLst>
            </xdr:cNvPr>
            <xdr:cNvSpPr txBox="1"/>
          </xdr:nvSpPr>
          <xdr:spPr>
            <a:xfrm>
              <a:off x="609600" y="20010120"/>
              <a:ext cx="914400" cy="267573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  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 2</a:t>
              </a:r>
              <a:r>
                <a:rPr lang="ru-RU" sz="1100"/>
                <a:t> </a:t>
              </a:r>
              <a:r>
                <a:rPr lang="ru-RU" sz="1100" i="0">
                  <a:latin typeface="Cambria Math"/>
                  <a:ea typeface="Cambria Math"/>
                </a:rPr>
                <a:t>≥</a:t>
              </a:r>
              <a:r>
                <a:rPr lang="ru-RU" sz="1100"/>
                <a:t> 0</a:t>
              </a:r>
            </a:p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 3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Cambria Math"/>
                  <a:cs typeface="+mn-cs"/>
                </a:rPr>
                <a:t>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0</a:t>
              </a:r>
              <a:endParaRPr lang="ru-RU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"1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 4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Cambria Math"/>
                  <a:cs typeface="+mn-cs"/>
                </a:rPr>
                <a:t>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0</a:t>
              </a:r>
              <a:endParaRPr lang="ru-RU" sz="1100"/>
            </a:p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"24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Cambria Math"/>
                  <a:cs typeface="+mn-cs"/>
                </a:rPr>
                <a:t>"≥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Cambria Math"/>
                  <a:cs typeface="+mn-cs"/>
                </a:rPr>
                <a:t>𝑡°12</a:t>
              </a:r>
              <a:endParaRPr lang="en-US" sz="1100"/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"3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𝑡°13</a:t>
              </a:r>
              <a:endParaRPr lang="en-US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"36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𝑡°13</a:t>
              </a:r>
              <a:endParaRPr lang="en-US" sz="1100" b="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 5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𝑡°12</a:t>
              </a:r>
              <a:endParaRPr lang="ru-RU">
                <a:effectLst/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𝑡°34</a:t>
              </a:r>
              <a:endParaRPr lang="ru-RU">
                <a:effectLst/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𝑡°24</a:t>
              </a:r>
              <a:endParaRPr lang="en-US">
                <a:effectLst/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𝑡°14</a:t>
              </a:r>
              <a:endParaRPr lang="ru-RU">
                <a:effectLst/>
              </a:endParaRPr>
            </a:p>
            <a:p>
              <a:pPr eaLnBrk="1" fontAlgn="auto" latinLnBrk="0" hangingPunct="1"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𝑡°34</a:t>
              </a:r>
              <a:endParaRPr lang="ru-RU">
                <a:effectLst/>
              </a:endParaRPr>
            </a:p>
            <a:p>
              <a:pPr eaLnBrk="1" fontAlgn="auto" latinLnBrk="0" hangingPunct="1"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"45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𝑡°24</a:t>
              </a:r>
              <a:endParaRPr lang="en-US">
                <a:effectLst/>
              </a:endParaRPr>
            </a:p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𝑡°14</a:t>
              </a:r>
              <a:endParaRPr lang="ru-RU">
                <a:effectLst/>
              </a:endParaRPr>
            </a:p>
            <a:p>
              <a:pPr eaLnBrk="1" fontAlgn="auto" latinLnBrk="0" hangingPunct="1"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"56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𝑡°45</a:t>
              </a:r>
              <a:endParaRPr lang="ru-RU">
                <a:effectLst/>
              </a:endParaRPr>
            </a:p>
            <a:p>
              <a:pPr eaLnBrk="1" fontAlgn="auto" latinLnBrk="0" hangingPunct="1"/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н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"56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"≥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𝑡°25</a:t>
              </a:r>
              <a:endParaRPr lang="ru-RU">
                <a:effectLst/>
              </a:endParaRPr>
            </a:p>
          </xdr:txBody>
        </xdr:sp>
      </mc:Fallback>
    </mc:AlternateContent>
    <xdr:clientData/>
  </xdr:oneCellAnchor>
  <xdr:twoCellAnchor>
    <xdr:from>
      <xdr:col>1</xdr:col>
      <xdr:colOff>0</xdr:colOff>
      <xdr:row>161</xdr:row>
      <xdr:rowOff>0</xdr:rowOff>
    </xdr:from>
    <xdr:to>
      <xdr:col>5</xdr:col>
      <xdr:colOff>536713</xdr:colOff>
      <xdr:row>173</xdr:row>
      <xdr:rowOff>53398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1C38A0CD-9288-41A4-BB89-23A1D95C03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152961</xdr:colOff>
      <xdr:row>51</xdr:row>
      <xdr:rowOff>26895</xdr:rowOff>
    </xdr:from>
    <xdr:to>
      <xdr:col>7</xdr:col>
      <xdr:colOff>412041</xdr:colOff>
      <xdr:row>57</xdr:row>
      <xdr:rowOff>161364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6D1A9BBC-CAE4-48E0-B063-311B2695C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2161" y="10174942"/>
          <a:ext cx="3432586" cy="1246093"/>
        </a:xfrm>
        <a:prstGeom prst="rect">
          <a:avLst/>
        </a:prstGeom>
      </xdr:spPr>
    </xdr:pic>
    <xdr:clientData/>
  </xdr:twoCellAnchor>
  <xdr:twoCellAnchor editAs="oneCell">
    <xdr:from>
      <xdr:col>2</xdr:col>
      <xdr:colOff>654423</xdr:colOff>
      <xdr:row>62</xdr:row>
      <xdr:rowOff>17929</xdr:rowOff>
    </xdr:from>
    <xdr:to>
      <xdr:col>6</xdr:col>
      <xdr:colOff>555625</xdr:colOff>
      <xdr:row>63</xdr:row>
      <xdr:rowOff>129464</xdr:rowOff>
    </xdr:to>
    <xdr:pic>
      <xdr:nvPicPr>
        <xdr:cNvPr id="7" name="Рисунок 3">
          <a:extLst>
            <a:ext uri="{FF2B5EF4-FFF2-40B4-BE49-F238E27FC236}">
              <a16:creationId xmlns:a16="http://schemas.microsoft.com/office/drawing/2014/main" id="{E5C093DC-1930-40D0-B4A5-B4A74B784E9C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3623" y="12192000"/>
          <a:ext cx="2465108" cy="290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40C6-AE30-4D15-ACCB-466CAD66AD74}">
  <dimension ref="A1:G73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12.6640625" bestFit="1" customWidth="1"/>
    <col min="5" max="5" width="12.44140625" bestFit="1" customWidth="1"/>
    <col min="6" max="6" width="10.44140625" bestFit="1" customWidth="1"/>
    <col min="7" max="7" width="11" bestFit="1" customWidth="1"/>
  </cols>
  <sheetData>
    <row r="1" spans="1:5" x14ac:dyDescent="0.3">
      <c r="A1" s="93" t="s">
        <v>52</v>
      </c>
    </row>
    <row r="2" spans="1:5" x14ac:dyDescent="0.3">
      <c r="A2" s="93" t="s">
        <v>53</v>
      </c>
    </row>
    <row r="3" spans="1:5" x14ac:dyDescent="0.3">
      <c r="A3" s="93" t="s">
        <v>54</v>
      </c>
    </row>
    <row r="4" spans="1:5" x14ac:dyDescent="0.3">
      <c r="A4" s="93" t="s">
        <v>55</v>
      </c>
    </row>
    <row r="5" spans="1:5" x14ac:dyDescent="0.3">
      <c r="A5" s="93" t="s">
        <v>56</v>
      </c>
    </row>
    <row r="6" spans="1:5" x14ac:dyDescent="0.3">
      <c r="A6" s="93"/>
      <c r="B6" t="s">
        <v>57</v>
      </c>
    </row>
    <row r="7" spans="1:5" x14ac:dyDescent="0.3">
      <c r="A7" s="93"/>
      <c r="B7" t="s">
        <v>58</v>
      </c>
    </row>
    <row r="8" spans="1:5" x14ac:dyDescent="0.3">
      <c r="A8" s="93"/>
      <c r="B8" t="s">
        <v>59</v>
      </c>
    </row>
    <row r="9" spans="1:5" x14ac:dyDescent="0.3">
      <c r="A9" s="93" t="s">
        <v>60</v>
      </c>
    </row>
    <row r="10" spans="1:5" x14ac:dyDescent="0.3">
      <c r="B10" t="s">
        <v>61</v>
      </c>
    </row>
    <row r="11" spans="1:5" x14ac:dyDescent="0.3">
      <c r="B11" t="s">
        <v>62</v>
      </c>
    </row>
    <row r="12" spans="1:5" x14ac:dyDescent="0.3">
      <c r="B12" t="s">
        <v>63</v>
      </c>
    </row>
    <row r="14" spans="1:5" ht="15" thickBot="1" x14ac:dyDescent="0.35">
      <c r="A14" t="s">
        <v>64</v>
      </c>
    </row>
    <row r="15" spans="1:5" ht="15" thickBot="1" x14ac:dyDescent="0.35">
      <c r="B15" s="95" t="s">
        <v>65</v>
      </c>
      <c r="C15" s="95" t="s">
        <v>66</v>
      </c>
      <c r="D15" s="95" t="s">
        <v>67</v>
      </c>
      <c r="E15" s="95" t="s">
        <v>68</v>
      </c>
    </row>
    <row r="16" spans="1:5" ht="15" thickBot="1" x14ac:dyDescent="0.35">
      <c r="B16" s="94" t="s">
        <v>76</v>
      </c>
      <c r="C16" s="94" t="s">
        <v>77</v>
      </c>
      <c r="D16" s="97">
        <v>3889</v>
      </c>
      <c r="E16" s="97">
        <v>4100</v>
      </c>
    </row>
    <row r="19" spans="1:6" ht="15" thickBot="1" x14ac:dyDescent="0.35">
      <c r="A19" t="s">
        <v>69</v>
      </c>
    </row>
    <row r="20" spans="1:6" ht="15" thickBot="1" x14ac:dyDescent="0.35">
      <c r="B20" s="95" t="s">
        <v>65</v>
      </c>
      <c r="C20" s="95" t="s">
        <v>66</v>
      </c>
      <c r="D20" s="95" t="s">
        <v>67</v>
      </c>
      <c r="E20" s="95" t="s">
        <v>68</v>
      </c>
      <c r="F20" s="95" t="s">
        <v>70</v>
      </c>
    </row>
    <row r="21" spans="1:6" x14ac:dyDescent="0.3">
      <c r="B21" s="96" t="s">
        <v>78</v>
      </c>
      <c r="C21" s="96" t="s">
        <v>79</v>
      </c>
      <c r="D21" s="98">
        <v>4</v>
      </c>
      <c r="E21" s="98">
        <v>50</v>
      </c>
      <c r="F21" s="96" t="s">
        <v>80</v>
      </c>
    </row>
    <row r="22" spans="1:6" x14ac:dyDescent="0.3">
      <c r="B22" s="96" t="s">
        <v>81</v>
      </c>
      <c r="C22" s="96" t="s">
        <v>82</v>
      </c>
      <c r="D22" s="98">
        <v>5</v>
      </c>
      <c r="E22" s="98">
        <v>0</v>
      </c>
      <c r="F22" s="96" t="s">
        <v>80</v>
      </c>
    </row>
    <row r="23" spans="1:6" x14ac:dyDescent="0.3">
      <c r="B23" s="96" t="s">
        <v>83</v>
      </c>
      <c r="C23" s="96" t="s">
        <v>84</v>
      </c>
      <c r="D23" s="98">
        <v>6</v>
      </c>
      <c r="E23" s="98">
        <v>0</v>
      </c>
      <c r="F23" s="96" t="s">
        <v>80</v>
      </c>
    </row>
    <row r="24" spans="1:6" x14ac:dyDescent="0.3">
      <c r="B24" s="96" t="s">
        <v>85</v>
      </c>
      <c r="C24" s="96" t="s">
        <v>86</v>
      </c>
      <c r="D24" s="98">
        <v>10</v>
      </c>
      <c r="E24" s="98">
        <v>0</v>
      </c>
      <c r="F24" s="96" t="s">
        <v>80</v>
      </c>
    </row>
    <row r="25" spans="1:6" x14ac:dyDescent="0.3">
      <c r="B25" s="96" t="s">
        <v>87</v>
      </c>
      <c r="C25" s="96" t="s">
        <v>88</v>
      </c>
      <c r="D25" s="98">
        <v>6</v>
      </c>
      <c r="E25" s="98">
        <v>0</v>
      </c>
      <c r="F25" s="96" t="s">
        <v>80</v>
      </c>
    </row>
    <row r="26" spans="1:6" x14ac:dyDescent="0.3">
      <c r="B26" s="96" t="s">
        <v>89</v>
      </c>
      <c r="C26" s="96" t="s">
        <v>90</v>
      </c>
      <c r="D26" s="98">
        <v>3</v>
      </c>
      <c r="E26" s="98">
        <v>0</v>
      </c>
      <c r="F26" s="96" t="s">
        <v>80</v>
      </c>
    </row>
    <row r="27" spans="1:6" x14ac:dyDescent="0.3">
      <c r="B27" s="96" t="s">
        <v>91</v>
      </c>
      <c r="C27" s="96" t="s">
        <v>92</v>
      </c>
      <c r="D27" s="98">
        <v>8</v>
      </c>
      <c r="E27" s="98">
        <v>99.999999999999986</v>
      </c>
      <c r="F27" s="96" t="s">
        <v>80</v>
      </c>
    </row>
    <row r="28" spans="1:6" x14ac:dyDescent="0.3">
      <c r="B28" s="96" t="s">
        <v>93</v>
      </c>
      <c r="C28" s="96" t="s">
        <v>94</v>
      </c>
      <c r="D28" s="98">
        <v>4</v>
      </c>
      <c r="E28" s="98">
        <v>0</v>
      </c>
      <c r="F28" s="96" t="s">
        <v>80</v>
      </c>
    </row>
    <row r="29" spans="1:6" x14ac:dyDescent="0.3">
      <c r="B29" s="96" t="s">
        <v>95</v>
      </c>
      <c r="C29" s="96" t="s">
        <v>96</v>
      </c>
      <c r="D29" s="98">
        <v>5</v>
      </c>
      <c r="E29" s="98">
        <v>0</v>
      </c>
      <c r="F29" s="96" t="s">
        <v>80</v>
      </c>
    </row>
    <row r="30" spans="1:6" x14ac:dyDescent="0.3">
      <c r="B30" s="96" t="s">
        <v>97</v>
      </c>
      <c r="C30" s="96" t="s">
        <v>98</v>
      </c>
      <c r="D30" s="98">
        <v>1</v>
      </c>
      <c r="E30" s="98">
        <v>149.99999999999997</v>
      </c>
      <c r="F30" s="96" t="s">
        <v>80</v>
      </c>
    </row>
    <row r="31" spans="1:6" x14ac:dyDescent="0.3">
      <c r="B31" s="96" t="s">
        <v>99</v>
      </c>
      <c r="C31" s="96" t="s">
        <v>100</v>
      </c>
      <c r="D31" s="98">
        <v>3</v>
      </c>
      <c r="E31" s="98">
        <v>0</v>
      </c>
      <c r="F31" s="96" t="s">
        <v>80</v>
      </c>
    </row>
    <row r="32" spans="1:6" x14ac:dyDescent="0.3">
      <c r="B32" s="96" t="s">
        <v>101</v>
      </c>
      <c r="C32" s="96" t="s">
        <v>102</v>
      </c>
      <c r="D32" s="98">
        <v>1</v>
      </c>
      <c r="E32" s="98">
        <v>0</v>
      </c>
      <c r="F32" s="96" t="s">
        <v>80</v>
      </c>
    </row>
    <row r="33" spans="1:7" x14ac:dyDescent="0.3">
      <c r="B33" s="96" t="s">
        <v>103</v>
      </c>
      <c r="C33" s="96" t="s">
        <v>104</v>
      </c>
      <c r="D33" s="98">
        <v>7</v>
      </c>
      <c r="E33" s="98">
        <v>1.0658141036401503E-14</v>
      </c>
      <c r="F33" s="96" t="s">
        <v>80</v>
      </c>
    </row>
    <row r="34" spans="1:7" x14ac:dyDescent="0.3">
      <c r="B34" s="96" t="s">
        <v>105</v>
      </c>
      <c r="C34" s="96" t="s">
        <v>106</v>
      </c>
      <c r="D34" s="98">
        <v>2</v>
      </c>
      <c r="E34" s="98">
        <v>2.4868995751603507E-14</v>
      </c>
      <c r="F34" s="96" t="s">
        <v>80</v>
      </c>
    </row>
    <row r="35" spans="1:7" x14ac:dyDescent="0.3">
      <c r="B35" s="96" t="s">
        <v>107</v>
      </c>
      <c r="C35" s="96" t="s">
        <v>108</v>
      </c>
      <c r="D35" s="98">
        <v>4</v>
      </c>
      <c r="E35" s="98">
        <v>66.541840297165322</v>
      </c>
      <c r="F35" s="96" t="s">
        <v>80</v>
      </c>
    </row>
    <row r="36" spans="1:7" x14ac:dyDescent="0.3">
      <c r="B36" s="96" t="s">
        <v>109</v>
      </c>
      <c r="C36" s="96" t="s">
        <v>110</v>
      </c>
      <c r="D36" s="98">
        <v>2</v>
      </c>
      <c r="E36" s="98">
        <v>83.458159702834635</v>
      </c>
      <c r="F36" s="96" t="s">
        <v>80</v>
      </c>
    </row>
    <row r="37" spans="1:7" x14ac:dyDescent="0.3">
      <c r="B37" s="96" t="s">
        <v>111</v>
      </c>
      <c r="C37" s="96" t="s">
        <v>112</v>
      </c>
      <c r="D37" s="98">
        <v>0</v>
      </c>
      <c r="E37" s="98">
        <v>0</v>
      </c>
      <c r="F37" s="96" t="s">
        <v>80</v>
      </c>
    </row>
    <row r="38" spans="1:7" x14ac:dyDescent="0.3">
      <c r="B38" s="96" t="s">
        <v>113</v>
      </c>
      <c r="C38" s="96" t="s">
        <v>114</v>
      </c>
      <c r="D38" s="98">
        <v>0</v>
      </c>
      <c r="E38" s="98">
        <v>0</v>
      </c>
      <c r="F38" s="96" t="s">
        <v>80</v>
      </c>
    </row>
    <row r="39" spans="1:7" x14ac:dyDescent="0.3">
      <c r="B39" s="96" t="s">
        <v>115</v>
      </c>
      <c r="C39" s="96" t="s">
        <v>116</v>
      </c>
      <c r="D39" s="98">
        <v>0</v>
      </c>
      <c r="E39" s="98">
        <v>33.458159702834649</v>
      </c>
      <c r="F39" s="96" t="s">
        <v>80</v>
      </c>
    </row>
    <row r="40" spans="1:7" ht="15" thickBot="1" x14ac:dyDescent="0.35">
      <c r="B40" s="94" t="s">
        <v>117</v>
      </c>
      <c r="C40" s="94" t="s">
        <v>118</v>
      </c>
      <c r="D40" s="97">
        <v>0</v>
      </c>
      <c r="E40" s="97">
        <v>66.541840297165351</v>
      </c>
      <c r="F40" s="94" t="s">
        <v>80</v>
      </c>
    </row>
    <row r="43" spans="1:7" ht="15" thickBot="1" x14ac:dyDescent="0.35">
      <c r="A43" t="s">
        <v>71</v>
      </c>
    </row>
    <row r="44" spans="1:7" ht="15" thickBot="1" x14ac:dyDescent="0.35">
      <c r="B44" s="95" t="s">
        <v>65</v>
      </c>
      <c r="C44" s="95" t="s">
        <v>66</v>
      </c>
      <c r="D44" s="95" t="s">
        <v>72</v>
      </c>
      <c r="E44" s="95" t="s">
        <v>73</v>
      </c>
      <c r="F44" s="95" t="s">
        <v>74</v>
      </c>
      <c r="G44" s="95" t="s">
        <v>75</v>
      </c>
    </row>
    <row r="45" spans="1:7" x14ac:dyDescent="0.3">
      <c r="B45" s="96" t="s">
        <v>119</v>
      </c>
      <c r="C45" s="96" t="s">
        <v>120</v>
      </c>
      <c r="D45" s="98">
        <v>50.000000000000014</v>
      </c>
      <c r="E45" s="96" t="s">
        <v>121</v>
      </c>
      <c r="F45" s="96" t="s">
        <v>122</v>
      </c>
      <c r="G45" s="96">
        <v>0</v>
      </c>
    </row>
    <row r="46" spans="1:7" x14ac:dyDescent="0.3">
      <c r="B46" s="96" t="s">
        <v>123</v>
      </c>
      <c r="C46" s="96" t="s">
        <v>124</v>
      </c>
      <c r="D46" s="98">
        <v>150</v>
      </c>
      <c r="E46" s="96" t="s">
        <v>125</v>
      </c>
      <c r="F46" s="96" t="s">
        <v>122</v>
      </c>
      <c r="G46" s="96">
        <v>0</v>
      </c>
    </row>
    <row r="47" spans="1:7" x14ac:dyDescent="0.3">
      <c r="B47" s="96" t="s">
        <v>126</v>
      </c>
      <c r="C47" s="96" t="s">
        <v>127</v>
      </c>
      <c r="D47" s="98">
        <v>199.99999999999997</v>
      </c>
      <c r="E47" s="96" t="s">
        <v>128</v>
      </c>
      <c r="F47" s="96" t="s">
        <v>122</v>
      </c>
      <c r="G47" s="96">
        <v>0</v>
      </c>
    </row>
    <row r="48" spans="1:7" x14ac:dyDescent="0.3">
      <c r="B48" s="96" t="s">
        <v>129</v>
      </c>
      <c r="C48" s="96" t="s">
        <v>130</v>
      </c>
      <c r="D48" s="98">
        <v>150</v>
      </c>
      <c r="E48" s="96" t="s">
        <v>131</v>
      </c>
      <c r="F48" s="96" t="s">
        <v>122</v>
      </c>
      <c r="G48" s="96">
        <v>0</v>
      </c>
    </row>
    <row r="49" spans="2:7" x14ac:dyDescent="0.3">
      <c r="B49" s="96" t="s">
        <v>132</v>
      </c>
      <c r="C49" s="96" t="s">
        <v>133</v>
      </c>
      <c r="D49" s="98">
        <v>50</v>
      </c>
      <c r="E49" s="96" t="s">
        <v>134</v>
      </c>
      <c r="F49" s="96" t="s">
        <v>122</v>
      </c>
      <c r="G49" s="96">
        <v>0</v>
      </c>
    </row>
    <row r="50" spans="2:7" x14ac:dyDescent="0.3">
      <c r="B50" s="96" t="s">
        <v>135</v>
      </c>
      <c r="C50" s="96" t="s">
        <v>136</v>
      </c>
      <c r="D50" s="98">
        <v>99.999999999999986</v>
      </c>
      <c r="E50" s="96" t="s">
        <v>137</v>
      </c>
      <c r="F50" s="96" t="s">
        <v>122</v>
      </c>
      <c r="G50" s="96">
        <v>0</v>
      </c>
    </row>
    <row r="51" spans="2:7" x14ac:dyDescent="0.3">
      <c r="B51" s="96" t="s">
        <v>138</v>
      </c>
      <c r="C51" s="96" t="s">
        <v>139</v>
      </c>
      <c r="D51" s="98">
        <v>149.99999999999997</v>
      </c>
      <c r="E51" s="96" t="s">
        <v>140</v>
      </c>
      <c r="F51" s="96" t="s">
        <v>122</v>
      </c>
      <c r="G51" s="96">
        <v>0</v>
      </c>
    </row>
    <row r="52" spans="2:7" x14ac:dyDescent="0.3">
      <c r="B52" s="96" t="s">
        <v>141</v>
      </c>
      <c r="C52" s="96" t="s">
        <v>142</v>
      </c>
      <c r="D52" s="98">
        <v>150</v>
      </c>
      <c r="E52" s="96" t="s">
        <v>143</v>
      </c>
      <c r="F52" s="96" t="s">
        <v>122</v>
      </c>
      <c r="G52" s="96">
        <v>0</v>
      </c>
    </row>
    <row r="53" spans="2:7" x14ac:dyDescent="0.3">
      <c r="B53" s="96" t="s">
        <v>144</v>
      </c>
      <c r="C53" s="96" t="s">
        <v>145</v>
      </c>
      <c r="D53" s="98">
        <v>100</v>
      </c>
      <c r="E53" s="96" t="s">
        <v>146</v>
      </c>
      <c r="F53" s="96" t="s">
        <v>122</v>
      </c>
      <c r="G53" s="96">
        <v>0</v>
      </c>
    </row>
    <row r="54" spans="2:7" x14ac:dyDescent="0.3">
      <c r="B54" s="96" t="s">
        <v>78</v>
      </c>
      <c r="C54" s="96" t="s">
        <v>79</v>
      </c>
      <c r="D54" s="98">
        <v>50</v>
      </c>
      <c r="E54" s="96" t="s">
        <v>147</v>
      </c>
      <c r="F54" s="96" t="s">
        <v>148</v>
      </c>
      <c r="G54" s="98">
        <v>50</v>
      </c>
    </row>
    <row r="55" spans="2:7" x14ac:dyDescent="0.3">
      <c r="B55" s="96" t="s">
        <v>81</v>
      </c>
      <c r="C55" s="96" t="s">
        <v>82</v>
      </c>
      <c r="D55" s="98">
        <v>0</v>
      </c>
      <c r="E55" s="96" t="s">
        <v>149</v>
      </c>
      <c r="F55" s="96" t="s">
        <v>122</v>
      </c>
      <c r="G55" s="98">
        <v>0</v>
      </c>
    </row>
    <row r="56" spans="2:7" x14ac:dyDescent="0.3">
      <c r="B56" s="96" t="s">
        <v>83</v>
      </c>
      <c r="C56" s="96" t="s">
        <v>84</v>
      </c>
      <c r="D56" s="98">
        <v>0</v>
      </c>
      <c r="E56" s="96" t="s">
        <v>150</v>
      </c>
      <c r="F56" s="96" t="s">
        <v>122</v>
      </c>
      <c r="G56" s="98">
        <v>0</v>
      </c>
    </row>
    <row r="57" spans="2:7" x14ac:dyDescent="0.3">
      <c r="B57" s="96" t="s">
        <v>85</v>
      </c>
      <c r="C57" s="96" t="s">
        <v>86</v>
      </c>
      <c r="D57" s="98">
        <v>0</v>
      </c>
      <c r="E57" s="96" t="s">
        <v>151</v>
      </c>
      <c r="F57" s="96" t="s">
        <v>122</v>
      </c>
      <c r="G57" s="98">
        <v>0</v>
      </c>
    </row>
    <row r="58" spans="2:7" x14ac:dyDescent="0.3">
      <c r="B58" s="96" t="s">
        <v>87</v>
      </c>
      <c r="C58" s="96" t="s">
        <v>88</v>
      </c>
      <c r="D58" s="98">
        <v>0</v>
      </c>
      <c r="E58" s="96" t="s">
        <v>152</v>
      </c>
      <c r="F58" s="96" t="s">
        <v>122</v>
      </c>
      <c r="G58" s="98">
        <v>0</v>
      </c>
    </row>
    <row r="59" spans="2:7" x14ac:dyDescent="0.3">
      <c r="B59" s="96" t="s">
        <v>89</v>
      </c>
      <c r="C59" s="96" t="s">
        <v>90</v>
      </c>
      <c r="D59" s="98">
        <v>0</v>
      </c>
      <c r="E59" s="96" t="s">
        <v>153</v>
      </c>
      <c r="F59" s="96" t="s">
        <v>122</v>
      </c>
      <c r="G59" s="98">
        <v>0</v>
      </c>
    </row>
    <row r="60" spans="2:7" x14ac:dyDescent="0.3">
      <c r="B60" s="96" t="s">
        <v>91</v>
      </c>
      <c r="C60" s="96" t="s">
        <v>92</v>
      </c>
      <c r="D60" s="98">
        <v>99.999999999999986</v>
      </c>
      <c r="E60" s="96" t="s">
        <v>154</v>
      </c>
      <c r="F60" s="96" t="s">
        <v>148</v>
      </c>
      <c r="G60" s="98">
        <v>99.999999999999986</v>
      </c>
    </row>
    <row r="61" spans="2:7" x14ac:dyDescent="0.3">
      <c r="B61" s="96" t="s">
        <v>93</v>
      </c>
      <c r="C61" s="96" t="s">
        <v>94</v>
      </c>
      <c r="D61" s="98">
        <v>0</v>
      </c>
      <c r="E61" s="96" t="s">
        <v>155</v>
      </c>
      <c r="F61" s="96" t="s">
        <v>122</v>
      </c>
      <c r="G61" s="98">
        <v>0</v>
      </c>
    </row>
    <row r="62" spans="2:7" x14ac:dyDescent="0.3">
      <c r="B62" s="96" t="s">
        <v>95</v>
      </c>
      <c r="C62" s="96" t="s">
        <v>96</v>
      </c>
      <c r="D62" s="98">
        <v>0</v>
      </c>
      <c r="E62" s="96" t="s">
        <v>156</v>
      </c>
      <c r="F62" s="96" t="s">
        <v>122</v>
      </c>
      <c r="G62" s="98">
        <v>0</v>
      </c>
    </row>
    <row r="63" spans="2:7" x14ac:dyDescent="0.3">
      <c r="B63" s="96" t="s">
        <v>97</v>
      </c>
      <c r="C63" s="96" t="s">
        <v>98</v>
      </c>
      <c r="D63" s="98">
        <v>149.99999999999997</v>
      </c>
      <c r="E63" s="96" t="s">
        <v>157</v>
      </c>
      <c r="F63" s="96" t="s">
        <v>148</v>
      </c>
      <c r="G63" s="98">
        <v>149.99999999999997</v>
      </c>
    </row>
    <row r="64" spans="2:7" x14ac:dyDescent="0.3">
      <c r="B64" s="96" t="s">
        <v>99</v>
      </c>
      <c r="C64" s="96" t="s">
        <v>100</v>
      </c>
      <c r="D64" s="98">
        <v>0</v>
      </c>
      <c r="E64" s="96" t="s">
        <v>158</v>
      </c>
      <c r="F64" s="96" t="s">
        <v>122</v>
      </c>
      <c r="G64" s="98">
        <v>0</v>
      </c>
    </row>
    <row r="65" spans="2:7" x14ac:dyDescent="0.3">
      <c r="B65" s="96" t="s">
        <v>101</v>
      </c>
      <c r="C65" s="96" t="s">
        <v>102</v>
      </c>
      <c r="D65" s="98">
        <v>0</v>
      </c>
      <c r="E65" s="96" t="s">
        <v>159</v>
      </c>
      <c r="F65" s="96" t="s">
        <v>122</v>
      </c>
      <c r="G65" s="98">
        <v>0</v>
      </c>
    </row>
    <row r="66" spans="2:7" x14ac:dyDescent="0.3">
      <c r="B66" s="96" t="s">
        <v>103</v>
      </c>
      <c r="C66" s="96" t="s">
        <v>104</v>
      </c>
      <c r="D66" s="98">
        <v>1.0658141036401503E-14</v>
      </c>
      <c r="E66" s="96" t="s">
        <v>160</v>
      </c>
      <c r="F66" s="96" t="s">
        <v>122</v>
      </c>
      <c r="G66" s="98">
        <v>0</v>
      </c>
    </row>
    <row r="67" spans="2:7" x14ac:dyDescent="0.3">
      <c r="B67" s="96" t="s">
        <v>105</v>
      </c>
      <c r="C67" s="96" t="s">
        <v>106</v>
      </c>
      <c r="D67" s="98">
        <v>2.4868995751603507E-14</v>
      </c>
      <c r="E67" s="96" t="s">
        <v>161</v>
      </c>
      <c r="F67" s="96" t="s">
        <v>122</v>
      </c>
      <c r="G67" s="98">
        <v>0</v>
      </c>
    </row>
    <row r="68" spans="2:7" x14ac:dyDescent="0.3">
      <c r="B68" s="96" t="s">
        <v>107</v>
      </c>
      <c r="C68" s="96" t="s">
        <v>108</v>
      </c>
      <c r="D68" s="98">
        <v>66.541840297165322</v>
      </c>
      <c r="E68" s="96" t="s">
        <v>162</v>
      </c>
      <c r="F68" s="96" t="s">
        <v>148</v>
      </c>
      <c r="G68" s="98">
        <v>66.541840297165322</v>
      </c>
    </row>
    <row r="69" spans="2:7" x14ac:dyDescent="0.3">
      <c r="B69" s="96" t="s">
        <v>109</v>
      </c>
      <c r="C69" s="96" t="s">
        <v>110</v>
      </c>
      <c r="D69" s="98">
        <v>83.458159702834635</v>
      </c>
      <c r="E69" s="96" t="s">
        <v>163</v>
      </c>
      <c r="F69" s="96" t="s">
        <v>148</v>
      </c>
      <c r="G69" s="98">
        <v>83.458159702834635</v>
      </c>
    </row>
    <row r="70" spans="2:7" x14ac:dyDescent="0.3">
      <c r="B70" s="96" t="s">
        <v>111</v>
      </c>
      <c r="C70" s="96" t="s">
        <v>112</v>
      </c>
      <c r="D70" s="98">
        <v>0</v>
      </c>
      <c r="E70" s="96" t="s">
        <v>164</v>
      </c>
      <c r="F70" s="96" t="s">
        <v>122</v>
      </c>
      <c r="G70" s="98">
        <v>0</v>
      </c>
    </row>
    <row r="71" spans="2:7" x14ac:dyDescent="0.3">
      <c r="B71" s="96" t="s">
        <v>113</v>
      </c>
      <c r="C71" s="96" t="s">
        <v>114</v>
      </c>
      <c r="D71" s="98">
        <v>0</v>
      </c>
      <c r="E71" s="96" t="s">
        <v>165</v>
      </c>
      <c r="F71" s="96" t="s">
        <v>122</v>
      </c>
      <c r="G71" s="98">
        <v>0</v>
      </c>
    </row>
    <row r="72" spans="2:7" x14ac:dyDescent="0.3">
      <c r="B72" s="96" t="s">
        <v>115</v>
      </c>
      <c r="C72" s="96" t="s">
        <v>116</v>
      </c>
      <c r="D72" s="98">
        <v>33.458159702834649</v>
      </c>
      <c r="E72" s="96" t="s">
        <v>166</v>
      </c>
      <c r="F72" s="96" t="s">
        <v>148</v>
      </c>
      <c r="G72" s="98">
        <v>33.458159702834649</v>
      </c>
    </row>
    <row r="73" spans="2:7" ht="15" thickBot="1" x14ac:dyDescent="0.35">
      <c r="B73" s="94" t="s">
        <v>117</v>
      </c>
      <c r="C73" s="94" t="s">
        <v>118</v>
      </c>
      <c r="D73" s="97">
        <v>66.541840297165351</v>
      </c>
      <c r="E73" s="94" t="s">
        <v>167</v>
      </c>
      <c r="F73" s="94" t="s">
        <v>148</v>
      </c>
      <c r="G73" s="97">
        <v>66.541840297165351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4EDE9-5725-44DF-B341-0BFCFA2EC302}">
  <dimension ref="A1:E41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12" bestFit="1" customWidth="1"/>
    <col min="5" max="5" width="12.6640625" bestFit="1" customWidth="1"/>
  </cols>
  <sheetData>
    <row r="1" spans="1:5" x14ac:dyDescent="0.3">
      <c r="A1" s="93" t="s">
        <v>168</v>
      </c>
    </row>
    <row r="2" spans="1:5" x14ac:dyDescent="0.3">
      <c r="A2" s="93" t="s">
        <v>53</v>
      </c>
    </row>
    <row r="3" spans="1:5" x14ac:dyDescent="0.3">
      <c r="A3" s="93" t="s">
        <v>169</v>
      </c>
    </row>
    <row r="6" spans="1:5" ht="15" thickBot="1" x14ac:dyDescent="0.35">
      <c r="A6" t="s">
        <v>69</v>
      </c>
    </row>
    <row r="7" spans="1:5" x14ac:dyDescent="0.3">
      <c r="B7" s="99"/>
      <c r="C7" s="99"/>
      <c r="D7" s="99" t="s">
        <v>170</v>
      </c>
      <c r="E7" s="99" t="s">
        <v>172</v>
      </c>
    </row>
    <row r="8" spans="1:5" ht="15" thickBot="1" x14ac:dyDescent="0.35">
      <c r="B8" s="100" t="s">
        <v>65</v>
      </c>
      <c r="C8" s="100" t="s">
        <v>66</v>
      </c>
      <c r="D8" s="100" t="s">
        <v>171</v>
      </c>
      <c r="E8" s="100" t="s">
        <v>173</v>
      </c>
    </row>
    <row r="9" spans="1:5" x14ac:dyDescent="0.3">
      <c r="B9" s="96" t="s">
        <v>78</v>
      </c>
      <c r="C9" s="96" t="s">
        <v>79</v>
      </c>
      <c r="D9" s="96">
        <v>50</v>
      </c>
      <c r="E9" s="96">
        <v>0</v>
      </c>
    </row>
    <row r="10" spans="1:5" x14ac:dyDescent="0.3">
      <c r="B10" s="96" t="s">
        <v>81</v>
      </c>
      <c r="C10" s="96" t="s">
        <v>82</v>
      </c>
      <c r="D10" s="96">
        <v>0</v>
      </c>
      <c r="E10" s="96">
        <v>99.999999761581421</v>
      </c>
    </row>
    <row r="11" spans="1:5" x14ac:dyDescent="0.3">
      <c r="B11" s="96" t="s">
        <v>83</v>
      </c>
      <c r="C11" s="96" t="s">
        <v>84</v>
      </c>
      <c r="D11" s="96">
        <v>0</v>
      </c>
      <c r="E11" s="96">
        <v>147.99999952316284</v>
      </c>
    </row>
    <row r="12" spans="1:5" x14ac:dyDescent="0.3">
      <c r="B12" s="96" t="s">
        <v>85</v>
      </c>
      <c r="C12" s="96" t="s">
        <v>86</v>
      </c>
      <c r="D12" s="96">
        <v>0</v>
      </c>
      <c r="E12" s="96">
        <v>99.999999523162842</v>
      </c>
    </row>
    <row r="13" spans="1:5" x14ac:dyDescent="0.3">
      <c r="B13" s="96" t="s">
        <v>87</v>
      </c>
      <c r="C13" s="96" t="s">
        <v>88</v>
      </c>
      <c r="D13" s="96">
        <v>0</v>
      </c>
      <c r="E13" s="96">
        <v>0</v>
      </c>
    </row>
    <row r="14" spans="1:5" x14ac:dyDescent="0.3">
      <c r="B14" s="96" t="s">
        <v>89</v>
      </c>
      <c r="C14" s="96" t="s">
        <v>90</v>
      </c>
      <c r="D14" s="96">
        <v>0</v>
      </c>
      <c r="E14" s="96">
        <v>1.0000002384185791</v>
      </c>
    </row>
    <row r="15" spans="1:5" x14ac:dyDescent="0.3">
      <c r="B15" s="96" t="s">
        <v>91</v>
      </c>
      <c r="C15" s="96" t="s">
        <v>92</v>
      </c>
      <c r="D15" s="96">
        <v>99.999999999999986</v>
      </c>
      <c r="E15" s="96">
        <v>0</v>
      </c>
    </row>
    <row r="16" spans="1:5" x14ac:dyDescent="0.3">
      <c r="B16" s="96" t="s">
        <v>93</v>
      </c>
      <c r="C16" s="96" t="s">
        <v>94</v>
      </c>
      <c r="D16" s="96">
        <v>0</v>
      </c>
      <c r="E16" s="96">
        <v>6</v>
      </c>
    </row>
    <row r="17" spans="1:5" x14ac:dyDescent="0.3">
      <c r="B17" s="96" t="s">
        <v>95</v>
      </c>
      <c r="C17" s="96" t="s">
        <v>96</v>
      </c>
      <c r="D17" s="96">
        <v>0</v>
      </c>
      <c r="E17" s="96">
        <v>3.0000002384185791</v>
      </c>
    </row>
    <row r="18" spans="1:5" x14ac:dyDescent="0.3">
      <c r="B18" s="96" t="s">
        <v>97</v>
      </c>
      <c r="C18" s="96" t="s">
        <v>98</v>
      </c>
      <c r="D18" s="96">
        <v>149.99999999999997</v>
      </c>
      <c r="E18" s="96">
        <v>0</v>
      </c>
    </row>
    <row r="19" spans="1:5" x14ac:dyDescent="0.3">
      <c r="B19" s="96" t="s">
        <v>99</v>
      </c>
      <c r="C19" s="96" t="s">
        <v>100</v>
      </c>
      <c r="D19" s="96">
        <v>0</v>
      </c>
      <c r="E19" s="96">
        <v>2.9999997615814209</v>
      </c>
    </row>
    <row r="20" spans="1:5" x14ac:dyDescent="0.3">
      <c r="B20" s="96" t="s">
        <v>101</v>
      </c>
      <c r="C20" s="96" t="s">
        <v>102</v>
      </c>
      <c r="D20" s="96">
        <v>0</v>
      </c>
      <c r="E20" s="96">
        <v>0.9999992847442627</v>
      </c>
    </row>
    <row r="21" spans="1:5" x14ac:dyDescent="0.3">
      <c r="B21" s="96" t="s">
        <v>103</v>
      </c>
      <c r="C21" s="96" t="s">
        <v>104</v>
      </c>
      <c r="D21" s="96">
        <v>1.0658141036401503E-14</v>
      </c>
      <c r="E21" s="96">
        <v>4.0000004768371582</v>
      </c>
    </row>
    <row r="22" spans="1:5" x14ac:dyDescent="0.3">
      <c r="B22" s="96" t="s">
        <v>105</v>
      </c>
      <c r="C22" s="96" t="s">
        <v>106</v>
      </c>
      <c r="D22" s="96">
        <v>2.4868995751603507E-14</v>
      </c>
      <c r="E22" s="96">
        <v>-3.5762786865234375E-7</v>
      </c>
    </row>
    <row r="23" spans="1:5" x14ac:dyDescent="0.3">
      <c r="B23" s="96" t="s">
        <v>107</v>
      </c>
      <c r="C23" s="96" t="s">
        <v>108</v>
      </c>
      <c r="D23" s="96">
        <v>66.541840297165322</v>
      </c>
      <c r="E23" s="96">
        <v>0</v>
      </c>
    </row>
    <row r="24" spans="1:5" x14ac:dyDescent="0.3">
      <c r="B24" s="96" t="s">
        <v>109</v>
      </c>
      <c r="C24" s="96" t="s">
        <v>110</v>
      </c>
      <c r="D24" s="96">
        <v>83.458159702834635</v>
      </c>
      <c r="E24" s="96">
        <v>0</v>
      </c>
    </row>
    <row r="25" spans="1:5" x14ac:dyDescent="0.3">
      <c r="B25" s="96" t="s">
        <v>111</v>
      </c>
      <c r="C25" s="96" t="s">
        <v>112</v>
      </c>
      <c r="D25" s="96">
        <v>0</v>
      </c>
      <c r="E25" s="96">
        <v>5</v>
      </c>
    </row>
    <row r="26" spans="1:5" x14ac:dyDescent="0.3">
      <c r="B26" s="96" t="s">
        <v>113</v>
      </c>
      <c r="C26" s="96" t="s">
        <v>114</v>
      </c>
      <c r="D26" s="96">
        <v>0</v>
      </c>
      <c r="E26" s="96">
        <v>0</v>
      </c>
    </row>
    <row r="27" spans="1:5" x14ac:dyDescent="0.3">
      <c r="B27" s="96" t="s">
        <v>115</v>
      </c>
      <c r="C27" s="96" t="s">
        <v>116</v>
      </c>
      <c r="D27" s="96">
        <v>33.458159702834649</v>
      </c>
      <c r="E27" s="96">
        <v>0</v>
      </c>
    </row>
    <row r="28" spans="1:5" ht="15" thickBot="1" x14ac:dyDescent="0.35">
      <c r="B28" s="94" t="s">
        <v>117</v>
      </c>
      <c r="C28" s="94" t="s">
        <v>118</v>
      </c>
      <c r="D28" s="94">
        <v>66.541840297165351</v>
      </c>
      <c r="E28" s="94">
        <v>0</v>
      </c>
    </row>
    <row r="30" spans="1:5" ht="15" thickBot="1" x14ac:dyDescent="0.35">
      <c r="A30" t="s">
        <v>71</v>
      </c>
    </row>
    <row r="31" spans="1:5" x14ac:dyDescent="0.3">
      <c r="B31" s="99"/>
      <c r="C31" s="99"/>
      <c r="D31" s="99" t="s">
        <v>170</v>
      </c>
      <c r="E31" s="99" t="s">
        <v>174</v>
      </c>
    </row>
    <row r="32" spans="1:5" ht="15" thickBot="1" x14ac:dyDescent="0.35">
      <c r="B32" s="100" t="s">
        <v>65</v>
      </c>
      <c r="C32" s="100" t="s">
        <v>66</v>
      </c>
      <c r="D32" s="100" t="s">
        <v>171</v>
      </c>
      <c r="E32" s="100" t="s">
        <v>175</v>
      </c>
    </row>
    <row r="33" spans="2:5" x14ac:dyDescent="0.3">
      <c r="B33" s="96" t="s">
        <v>119</v>
      </c>
      <c r="C33" s="96" t="s">
        <v>120</v>
      </c>
      <c r="D33" s="96">
        <v>50.000000000000014</v>
      </c>
      <c r="E33" s="96">
        <v>0</v>
      </c>
    </row>
    <row r="34" spans="2:5" x14ac:dyDescent="0.3">
      <c r="B34" s="96" t="s">
        <v>123</v>
      </c>
      <c r="C34" s="96" t="s">
        <v>124</v>
      </c>
      <c r="D34" s="96">
        <v>150</v>
      </c>
      <c r="E34" s="96">
        <v>2.384185791015625E-7</v>
      </c>
    </row>
    <row r="35" spans="2:5" x14ac:dyDescent="0.3">
      <c r="B35" s="96" t="s">
        <v>126</v>
      </c>
      <c r="C35" s="96" t="s">
        <v>127</v>
      </c>
      <c r="D35" s="96">
        <v>199.99999999999997</v>
      </c>
      <c r="E35" s="96">
        <v>2.0000004768371582</v>
      </c>
    </row>
    <row r="36" spans="2:5" x14ac:dyDescent="0.3">
      <c r="B36" s="96" t="s">
        <v>129</v>
      </c>
      <c r="C36" s="96" t="s">
        <v>130</v>
      </c>
      <c r="D36" s="96">
        <v>150</v>
      </c>
      <c r="E36" s="96">
        <v>4.76837158203125E-7</v>
      </c>
    </row>
    <row r="37" spans="2:5" x14ac:dyDescent="0.3">
      <c r="B37" s="96" t="s">
        <v>132</v>
      </c>
      <c r="C37" s="96" t="s">
        <v>133</v>
      </c>
      <c r="D37" s="96">
        <v>50</v>
      </c>
      <c r="E37" s="96">
        <v>50</v>
      </c>
    </row>
    <row r="38" spans="2:5" x14ac:dyDescent="0.3">
      <c r="B38" s="96" t="s">
        <v>135</v>
      </c>
      <c r="C38" s="96" t="s">
        <v>136</v>
      </c>
      <c r="D38" s="96">
        <v>99.999999999999986</v>
      </c>
      <c r="E38" s="96">
        <v>3.9999995231628418</v>
      </c>
    </row>
    <row r="39" spans="2:5" x14ac:dyDescent="0.3">
      <c r="B39" s="96" t="s">
        <v>138</v>
      </c>
      <c r="C39" s="96" t="s">
        <v>139</v>
      </c>
      <c r="D39" s="96">
        <v>149.99999999999997</v>
      </c>
      <c r="E39" s="96">
        <v>2.9999997615814209</v>
      </c>
    </row>
    <row r="40" spans="2:5" x14ac:dyDescent="0.3">
      <c r="B40" s="96" t="s">
        <v>141</v>
      </c>
      <c r="C40" s="96" t="s">
        <v>142</v>
      </c>
      <c r="D40" s="96">
        <v>150</v>
      </c>
      <c r="E40" s="96">
        <v>0.9999995231628418</v>
      </c>
    </row>
    <row r="41" spans="2:5" ht="15" thickBot="1" x14ac:dyDescent="0.35">
      <c r="B41" s="94" t="s">
        <v>144</v>
      </c>
      <c r="C41" s="94" t="s">
        <v>145</v>
      </c>
      <c r="D41" s="94">
        <v>100</v>
      </c>
      <c r="E41" s="94">
        <v>1.9999995231628418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C9E4-8386-4F45-B228-56B62CF1AD5D}">
  <dimension ref="A1:J32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" bestFit="1" customWidth="1"/>
    <col min="4" max="4" width="12" bestFit="1" customWidth="1"/>
    <col min="5" max="5" width="2.33203125" customWidth="1"/>
    <col min="6" max="6" width="12" bestFit="1" customWidth="1"/>
    <col min="7" max="7" width="9" bestFit="1" customWidth="1"/>
    <col min="8" max="8" width="2.33203125" customWidth="1"/>
    <col min="9" max="9" width="12" bestFit="1" customWidth="1"/>
    <col min="10" max="10" width="9" bestFit="1" customWidth="1"/>
  </cols>
  <sheetData>
    <row r="1" spans="1:10" x14ac:dyDescent="0.3">
      <c r="A1" s="93" t="s">
        <v>176</v>
      </c>
    </row>
    <row r="2" spans="1:10" x14ac:dyDescent="0.3">
      <c r="A2" s="93" t="s">
        <v>53</v>
      </c>
    </row>
    <row r="3" spans="1:10" x14ac:dyDescent="0.3">
      <c r="A3" s="93" t="s">
        <v>169</v>
      </c>
    </row>
    <row r="5" spans="1:10" ht="15" thickBot="1" x14ac:dyDescent="0.35"/>
    <row r="6" spans="1:10" x14ac:dyDescent="0.3">
      <c r="B6" s="99"/>
      <c r="C6" s="99" t="s">
        <v>177</v>
      </c>
      <c r="D6" s="99"/>
    </row>
    <row r="7" spans="1:10" ht="15" thickBot="1" x14ac:dyDescent="0.35">
      <c r="B7" s="100" t="s">
        <v>65</v>
      </c>
      <c r="C7" s="100" t="s">
        <v>66</v>
      </c>
      <c r="D7" s="100" t="s">
        <v>171</v>
      </c>
    </row>
    <row r="8" spans="1:10" ht="15" thickBot="1" x14ac:dyDescent="0.35">
      <c r="B8" s="94" t="s">
        <v>76</v>
      </c>
      <c r="C8" s="94" t="s">
        <v>77</v>
      </c>
      <c r="D8" s="97">
        <v>4100</v>
      </c>
    </row>
    <row r="10" spans="1:10" ht="15" thickBot="1" x14ac:dyDescent="0.35"/>
    <row r="11" spans="1:10" x14ac:dyDescent="0.3">
      <c r="B11" s="99"/>
      <c r="C11" s="99" t="s">
        <v>178</v>
      </c>
      <c r="D11" s="99"/>
      <c r="F11" s="99" t="s">
        <v>179</v>
      </c>
      <c r="G11" s="99" t="s">
        <v>177</v>
      </c>
      <c r="I11" s="99" t="s">
        <v>182</v>
      </c>
      <c r="J11" s="99" t="s">
        <v>177</v>
      </c>
    </row>
    <row r="12" spans="1:10" ht="15" thickBot="1" x14ac:dyDescent="0.35">
      <c r="B12" s="100" t="s">
        <v>65</v>
      </c>
      <c r="C12" s="100" t="s">
        <v>66</v>
      </c>
      <c r="D12" s="100" t="s">
        <v>171</v>
      </c>
      <c r="F12" s="100" t="s">
        <v>180</v>
      </c>
      <c r="G12" s="100" t="s">
        <v>181</v>
      </c>
      <c r="I12" s="100" t="s">
        <v>180</v>
      </c>
      <c r="J12" s="100" t="s">
        <v>181</v>
      </c>
    </row>
    <row r="13" spans="1:10" x14ac:dyDescent="0.3">
      <c r="B13" s="96" t="s">
        <v>78</v>
      </c>
      <c r="C13" s="96" t="s">
        <v>79</v>
      </c>
      <c r="D13" s="98">
        <v>50</v>
      </c>
      <c r="F13" s="98">
        <v>50</v>
      </c>
      <c r="G13" s="98">
        <v>4100</v>
      </c>
      <c r="I13" s="98">
        <v>50</v>
      </c>
      <c r="J13" s="98">
        <v>4100</v>
      </c>
    </row>
    <row r="14" spans="1:10" x14ac:dyDescent="0.3">
      <c r="B14" s="96" t="s">
        <v>81</v>
      </c>
      <c r="C14" s="96" t="s">
        <v>82</v>
      </c>
      <c r="D14" s="98">
        <v>0</v>
      </c>
      <c r="F14" s="98">
        <v>0</v>
      </c>
      <c r="G14" s="98">
        <v>4100</v>
      </c>
      <c r="I14" s="98">
        <v>0</v>
      </c>
      <c r="J14" s="98">
        <v>4100</v>
      </c>
    </row>
    <row r="15" spans="1:10" x14ac:dyDescent="0.3">
      <c r="B15" s="96" t="s">
        <v>83</v>
      </c>
      <c r="C15" s="96" t="s">
        <v>84</v>
      </c>
      <c r="D15" s="98">
        <v>0</v>
      </c>
      <c r="F15" s="98">
        <v>0</v>
      </c>
      <c r="G15" s="98">
        <v>4100</v>
      </c>
      <c r="I15" s="98">
        <v>0</v>
      </c>
      <c r="J15" s="98">
        <v>4100</v>
      </c>
    </row>
    <row r="16" spans="1:10" x14ac:dyDescent="0.3">
      <c r="B16" s="96" t="s">
        <v>85</v>
      </c>
      <c r="C16" s="96" t="s">
        <v>86</v>
      </c>
      <c r="D16" s="98">
        <v>0</v>
      </c>
      <c r="F16" s="98">
        <v>0</v>
      </c>
      <c r="G16" s="98">
        <v>4100</v>
      </c>
      <c r="I16" s="98">
        <v>0</v>
      </c>
      <c r="J16" s="98">
        <v>4100</v>
      </c>
    </row>
    <row r="17" spans="2:10" x14ac:dyDescent="0.3">
      <c r="B17" s="96" t="s">
        <v>87</v>
      </c>
      <c r="C17" s="96" t="s">
        <v>88</v>
      </c>
      <c r="D17" s="98">
        <v>0</v>
      </c>
      <c r="F17" s="98">
        <v>0</v>
      </c>
      <c r="G17" s="98">
        <v>4100</v>
      </c>
      <c r="I17" s="98">
        <v>0</v>
      </c>
      <c r="J17" s="98">
        <v>4100</v>
      </c>
    </row>
    <row r="18" spans="2:10" x14ac:dyDescent="0.3">
      <c r="B18" s="96" t="s">
        <v>89</v>
      </c>
      <c r="C18" s="96" t="s">
        <v>90</v>
      </c>
      <c r="D18" s="98">
        <v>0</v>
      </c>
      <c r="F18" s="98">
        <v>0</v>
      </c>
      <c r="G18" s="98">
        <v>4100</v>
      </c>
      <c r="I18" s="98">
        <v>0</v>
      </c>
      <c r="J18" s="98">
        <v>4100</v>
      </c>
    </row>
    <row r="19" spans="2:10" x14ac:dyDescent="0.3">
      <c r="B19" s="96" t="s">
        <v>91</v>
      </c>
      <c r="C19" s="96" t="s">
        <v>92</v>
      </c>
      <c r="D19" s="98">
        <v>99.999999999999986</v>
      </c>
      <c r="F19" s="98">
        <v>99.999999999999986</v>
      </c>
      <c r="G19" s="98">
        <v>4100</v>
      </c>
      <c r="I19" s="98">
        <v>99.999999999999986</v>
      </c>
      <c r="J19" s="98">
        <v>4100</v>
      </c>
    </row>
    <row r="20" spans="2:10" x14ac:dyDescent="0.3">
      <c r="B20" s="96" t="s">
        <v>93</v>
      </c>
      <c r="C20" s="96" t="s">
        <v>94</v>
      </c>
      <c r="D20" s="98">
        <v>0</v>
      </c>
      <c r="F20" s="98">
        <v>0</v>
      </c>
      <c r="G20" s="98">
        <v>4100</v>
      </c>
      <c r="I20" s="98">
        <v>0</v>
      </c>
      <c r="J20" s="98">
        <v>4100</v>
      </c>
    </row>
    <row r="21" spans="2:10" x14ac:dyDescent="0.3">
      <c r="B21" s="96" t="s">
        <v>95</v>
      </c>
      <c r="C21" s="96" t="s">
        <v>96</v>
      </c>
      <c r="D21" s="98">
        <v>0</v>
      </c>
      <c r="F21" s="98">
        <v>0</v>
      </c>
      <c r="G21" s="98">
        <v>4100</v>
      </c>
      <c r="I21" s="98">
        <v>0</v>
      </c>
      <c r="J21" s="98">
        <v>4100</v>
      </c>
    </row>
    <row r="22" spans="2:10" x14ac:dyDescent="0.3">
      <c r="B22" s="96" t="s">
        <v>97</v>
      </c>
      <c r="C22" s="96" t="s">
        <v>98</v>
      </c>
      <c r="D22" s="98">
        <v>149.99999999999997</v>
      </c>
      <c r="F22" s="98">
        <v>149.99999999999997</v>
      </c>
      <c r="G22" s="98">
        <v>4100</v>
      </c>
      <c r="I22" s="98">
        <v>149.99999999999997</v>
      </c>
      <c r="J22" s="98">
        <v>4100</v>
      </c>
    </row>
    <row r="23" spans="2:10" x14ac:dyDescent="0.3">
      <c r="B23" s="96" t="s">
        <v>99</v>
      </c>
      <c r="C23" s="96" t="s">
        <v>100</v>
      </c>
      <c r="D23" s="98">
        <v>0</v>
      </c>
      <c r="F23" s="98">
        <v>0</v>
      </c>
      <c r="G23" s="98">
        <v>4100</v>
      </c>
      <c r="I23" s="98">
        <v>0</v>
      </c>
      <c r="J23" s="98">
        <v>4100</v>
      </c>
    </row>
    <row r="24" spans="2:10" x14ac:dyDescent="0.3">
      <c r="B24" s="96" t="s">
        <v>101</v>
      </c>
      <c r="C24" s="96" t="s">
        <v>102</v>
      </c>
      <c r="D24" s="98">
        <v>0</v>
      </c>
      <c r="F24" s="98">
        <v>0</v>
      </c>
      <c r="G24" s="98">
        <v>4100</v>
      </c>
      <c r="I24" s="98">
        <v>0</v>
      </c>
      <c r="J24" s="98">
        <v>4100</v>
      </c>
    </row>
    <row r="25" spans="2:10" x14ac:dyDescent="0.3">
      <c r="B25" s="96" t="s">
        <v>103</v>
      </c>
      <c r="C25" s="96" t="s">
        <v>104</v>
      </c>
      <c r="D25" s="98">
        <v>1.0658141036401503E-14</v>
      </c>
      <c r="F25" s="98">
        <v>1.0658141036401503E-14</v>
      </c>
      <c r="G25" s="98">
        <v>4100</v>
      </c>
      <c r="I25" s="98">
        <v>1.0658141036401503E-14</v>
      </c>
      <c r="J25" s="98">
        <v>4100</v>
      </c>
    </row>
    <row r="26" spans="2:10" x14ac:dyDescent="0.3">
      <c r="B26" s="96" t="s">
        <v>105</v>
      </c>
      <c r="C26" s="96" t="s">
        <v>106</v>
      </c>
      <c r="D26" s="98">
        <v>2.4868995751603507E-14</v>
      </c>
      <c r="F26" s="98">
        <v>2.4868995751603507E-14</v>
      </c>
      <c r="G26" s="98">
        <v>4100</v>
      </c>
      <c r="I26" s="98">
        <v>2.4868995751603507E-14</v>
      </c>
      <c r="J26" s="98">
        <v>4100</v>
      </c>
    </row>
    <row r="27" spans="2:10" x14ac:dyDescent="0.3">
      <c r="B27" s="96" t="s">
        <v>107</v>
      </c>
      <c r="C27" s="96" t="s">
        <v>108</v>
      </c>
      <c r="D27" s="98">
        <v>66.541840297165322</v>
      </c>
      <c r="F27" s="98">
        <v>66.541840297165322</v>
      </c>
      <c r="G27" s="98">
        <v>4100</v>
      </c>
      <c r="I27" s="98">
        <v>66.541840297165322</v>
      </c>
      <c r="J27" s="98">
        <v>4100</v>
      </c>
    </row>
    <row r="28" spans="2:10" x14ac:dyDescent="0.3">
      <c r="B28" s="96" t="s">
        <v>109</v>
      </c>
      <c r="C28" s="96" t="s">
        <v>110</v>
      </c>
      <c r="D28" s="98">
        <v>83.458159702834635</v>
      </c>
      <c r="F28" s="98">
        <v>83.458159702834635</v>
      </c>
      <c r="G28" s="98">
        <v>4100</v>
      </c>
      <c r="I28" s="98">
        <v>83.458159702834635</v>
      </c>
      <c r="J28" s="98">
        <v>4100</v>
      </c>
    </row>
    <row r="29" spans="2:10" x14ac:dyDescent="0.3">
      <c r="B29" s="96" t="s">
        <v>111</v>
      </c>
      <c r="C29" s="96" t="s">
        <v>112</v>
      </c>
      <c r="D29" s="98">
        <v>0</v>
      </c>
      <c r="F29" s="98">
        <v>0</v>
      </c>
      <c r="G29" s="98">
        <v>4100</v>
      </c>
      <c r="I29" s="98">
        <v>0</v>
      </c>
      <c r="J29" s="98">
        <v>4100</v>
      </c>
    </row>
    <row r="30" spans="2:10" x14ac:dyDescent="0.3">
      <c r="B30" s="96" t="s">
        <v>113</v>
      </c>
      <c r="C30" s="96" t="s">
        <v>114</v>
      </c>
      <c r="D30" s="98">
        <v>0</v>
      </c>
      <c r="F30" s="98">
        <v>0</v>
      </c>
      <c r="G30" s="98">
        <v>4100</v>
      </c>
      <c r="I30" s="98">
        <v>0</v>
      </c>
      <c r="J30" s="98">
        <v>4100</v>
      </c>
    </row>
    <row r="31" spans="2:10" x14ac:dyDescent="0.3">
      <c r="B31" s="96" t="s">
        <v>115</v>
      </c>
      <c r="C31" s="96" t="s">
        <v>116</v>
      </c>
      <c r="D31" s="98">
        <v>33.458159702834649</v>
      </c>
      <c r="F31" s="98">
        <v>33.458159702834649</v>
      </c>
      <c r="G31" s="98">
        <v>4100</v>
      </c>
      <c r="I31" s="98">
        <v>33.458159702834649</v>
      </c>
      <c r="J31" s="98">
        <v>4100</v>
      </c>
    </row>
    <row r="32" spans="2:10" ht="15" thickBot="1" x14ac:dyDescent="0.35">
      <c r="B32" s="94" t="s">
        <v>117</v>
      </c>
      <c r="C32" s="94" t="s">
        <v>118</v>
      </c>
      <c r="D32" s="97">
        <v>66.541840297165351</v>
      </c>
      <c r="F32" s="97">
        <v>66.541840297165351</v>
      </c>
      <c r="G32" s="97">
        <v>4100</v>
      </c>
      <c r="I32" s="97">
        <v>66.541840297165351</v>
      </c>
      <c r="J32" s="97">
        <v>4100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9091-8936-46BE-8DCE-5E605AC5D2C2}">
  <dimension ref="A1:G73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12.6640625" bestFit="1" customWidth="1"/>
    <col min="5" max="5" width="12.44140625" bestFit="1" customWidth="1"/>
    <col min="6" max="6" width="10.44140625" bestFit="1" customWidth="1"/>
    <col min="7" max="7" width="5.33203125" bestFit="1" customWidth="1"/>
  </cols>
  <sheetData>
    <row r="1" spans="1:5" x14ac:dyDescent="0.3">
      <c r="A1" s="93" t="s">
        <v>52</v>
      </c>
    </row>
    <row r="2" spans="1:5" x14ac:dyDescent="0.3">
      <c r="A2" s="93" t="s">
        <v>53</v>
      </c>
    </row>
    <row r="3" spans="1:5" x14ac:dyDescent="0.3">
      <c r="A3" s="93" t="s">
        <v>183</v>
      </c>
    </row>
    <row r="4" spans="1:5" x14ac:dyDescent="0.3">
      <c r="A4" s="93" t="s">
        <v>55</v>
      </c>
    </row>
    <row r="5" spans="1:5" x14ac:dyDescent="0.3">
      <c r="A5" s="93" t="s">
        <v>56</v>
      </c>
    </row>
    <row r="6" spans="1:5" x14ac:dyDescent="0.3">
      <c r="A6" s="93"/>
      <c r="B6" t="s">
        <v>184</v>
      </c>
    </row>
    <row r="7" spans="1:5" x14ac:dyDescent="0.3">
      <c r="A7" s="93"/>
      <c r="B7" t="s">
        <v>185</v>
      </c>
    </row>
    <row r="8" spans="1:5" x14ac:dyDescent="0.3">
      <c r="A8" s="93"/>
      <c r="B8" t="s">
        <v>186</v>
      </c>
    </row>
    <row r="9" spans="1:5" x14ac:dyDescent="0.3">
      <c r="A9" s="93" t="s">
        <v>60</v>
      </c>
    </row>
    <row r="10" spans="1:5" x14ac:dyDescent="0.3">
      <c r="B10" t="s">
        <v>61</v>
      </c>
    </row>
    <row r="11" spans="1:5" x14ac:dyDescent="0.3">
      <c r="B11" t="s">
        <v>63</v>
      </c>
    </row>
    <row r="14" spans="1:5" ht="15" thickBot="1" x14ac:dyDescent="0.35">
      <c r="A14" t="s">
        <v>64</v>
      </c>
    </row>
    <row r="15" spans="1:5" ht="15" thickBot="1" x14ac:dyDescent="0.35">
      <c r="B15" s="95" t="s">
        <v>65</v>
      </c>
      <c r="C15" s="95" t="s">
        <v>66</v>
      </c>
      <c r="D15" s="95" t="s">
        <v>67</v>
      </c>
      <c r="E15" s="95" t="s">
        <v>68</v>
      </c>
    </row>
    <row r="16" spans="1:5" ht="15" thickBot="1" x14ac:dyDescent="0.35">
      <c r="B16" s="94" t="s">
        <v>76</v>
      </c>
      <c r="C16" s="94" t="s">
        <v>77</v>
      </c>
      <c r="D16" s="97">
        <v>4100</v>
      </c>
      <c r="E16" s="97">
        <v>4100</v>
      </c>
    </row>
    <row r="19" spans="1:6" ht="15" thickBot="1" x14ac:dyDescent="0.35">
      <c r="A19" t="s">
        <v>69</v>
      </c>
    </row>
    <row r="20" spans="1:6" ht="15" thickBot="1" x14ac:dyDescent="0.35">
      <c r="B20" s="95" t="s">
        <v>65</v>
      </c>
      <c r="C20" s="95" t="s">
        <v>66</v>
      </c>
      <c r="D20" s="95" t="s">
        <v>67</v>
      </c>
      <c r="E20" s="95" t="s">
        <v>68</v>
      </c>
      <c r="F20" s="95" t="s">
        <v>70</v>
      </c>
    </row>
    <row r="21" spans="1:6" x14ac:dyDescent="0.3">
      <c r="B21" s="96" t="s">
        <v>78</v>
      </c>
      <c r="C21" s="96" t="s">
        <v>79</v>
      </c>
      <c r="D21" s="98">
        <v>50</v>
      </c>
      <c r="E21" s="98">
        <v>50</v>
      </c>
      <c r="F21" s="96" t="s">
        <v>80</v>
      </c>
    </row>
    <row r="22" spans="1:6" x14ac:dyDescent="0.3">
      <c r="B22" s="96" t="s">
        <v>81</v>
      </c>
      <c r="C22" s="96" t="s">
        <v>82</v>
      </c>
      <c r="D22" s="98">
        <v>0</v>
      </c>
      <c r="E22" s="98">
        <v>0</v>
      </c>
      <c r="F22" s="96" t="s">
        <v>80</v>
      </c>
    </row>
    <row r="23" spans="1:6" x14ac:dyDescent="0.3">
      <c r="B23" s="96" t="s">
        <v>83</v>
      </c>
      <c r="C23" s="96" t="s">
        <v>84</v>
      </c>
      <c r="D23" s="98">
        <v>0</v>
      </c>
      <c r="E23" s="98">
        <v>0</v>
      </c>
      <c r="F23" s="96" t="s">
        <v>80</v>
      </c>
    </row>
    <row r="24" spans="1:6" x14ac:dyDescent="0.3">
      <c r="B24" s="96" t="s">
        <v>85</v>
      </c>
      <c r="C24" s="96" t="s">
        <v>86</v>
      </c>
      <c r="D24" s="98">
        <v>0</v>
      </c>
      <c r="E24" s="98">
        <v>0</v>
      </c>
      <c r="F24" s="96" t="s">
        <v>80</v>
      </c>
    </row>
    <row r="25" spans="1:6" x14ac:dyDescent="0.3">
      <c r="B25" s="96" t="s">
        <v>87</v>
      </c>
      <c r="C25" s="96" t="s">
        <v>88</v>
      </c>
      <c r="D25" s="98">
        <v>0</v>
      </c>
      <c r="E25" s="98">
        <v>0</v>
      </c>
      <c r="F25" s="96" t="s">
        <v>80</v>
      </c>
    </row>
    <row r="26" spans="1:6" x14ac:dyDescent="0.3">
      <c r="B26" s="96" t="s">
        <v>89</v>
      </c>
      <c r="C26" s="96" t="s">
        <v>90</v>
      </c>
      <c r="D26" s="98">
        <v>0</v>
      </c>
      <c r="E26" s="98">
        <v>0</v>
      </c>
      <c r="F26" s="96" t="s">
        <v>80</v>
      </c>
    </row>
    <row r="27" spans="1:6" x14ac:dyDescent="0.3">
      <c r="B27" s="96" t="s">
        <v>91</v>
      </c>
      <c r="C27" s="96" t="s">
        <v>92</v>
      </c>
      <c r="D27" s="98">
        <v>99.999999999999986</v>
      </c>
      <c r="E27" s="98">
        <v>100</v>
      </c>
      <c r="F27" s="96" t="s">
        <v>80</v>
      </c>
    </row>
    <row r="28" spans="1:6" x14ac:dyDescent="0.3">
      <c r="B28" s="96" t="s">
        <v>93</v>
      </c>
      <c r="C28" s="96" t="s">
        <v>94</v>
      </c>
      <c r="D28" s="98">
        <v>0</v>
      </c>
      <c r="E28" s="98">
        <v>0</v>
      </c>
      <c r="F28" s="96" t="s">
        <v>80</v>
      </c>
    </row>
    <row r="29" spans="1:6" x14ac:dyDescent="0.3">
      <c r="B29" s="96" t="s">
        <v>95</v>
      </c>
      <c r="C29" s="96" t="s">
        <v>96</v>
      </c>
      <c r="D29" s="98">
        <v>0</v>
      </c>
      <c r="E29" s="98">
        <v>0</v>
      </c>
      <c r="F29" s="96" t="s">
        <v>80</v>
      </c>
    </row>
    <row r="30" spans="1:6" x14ac:dyDescent="0.3">
      <c r="B30" s="96" t="s">
        <v>97</v>
      </c>
      <c r="C30" s="96" t="s">
        <v>98</v>
      </c>
      <c r="D30" s="98">
        <v>149.99999999999997</v>
      </c>
      <c r="E30" s="98">
        <v>150</v>
      </c>
      <c r="F30" s="96" t="s">
        <v>80</v>
      </c>
    </row>
    <row r="31" spans="1:6" x14ac:dyDescent="0.3">
      <c r="B31" s="96" t="s">
        <v>99</v>
      </c>
      <c r="C31" s="96" t="s">
        <v>100</v>
      </c>
      <c r="D31" s="98">
        <v>0</v>
      </c>
      <c r="E31" s="98">
        <v>0</v>
      </c>
      <c r="F31" s="96" t="s">
        <v>80</v>
      </c>
    </row>
    <row r="32" spans="1:6" x14ac:dyDescent="0.3">
      <c r="B32" s="96" t="s">
        <v>101</v>
      </c>
      <c r="C32" s="96" t="s">
        <v>102</v>
      </c>
      <c r="D32" s="98">
        <v>0</v>
      </c>
      <c r="E32" s="98">
        <v>0</v>
      </c>
      <c r="F32" s="96" t="s">
        <v>80</v>
      </c>
    </row>
    <row r="33" spans="1:7" x14ac:dyDescent="0.3">
      <c r="B33" s="96" t="s">
        <v>103</v>
      </c>
      <c r="C33" s="96" t="s">
        <v>104</v>
      </c>
      <c r="D33" s="98">
        <v>1.0658141036401503E-14</v>
      </c>
      <c r="E33" s="98">
        <v>0</v>
      </c>
      <c r="F33" s="96" t="s">
        <v>80</v>
      </c>
    </row>
    <row r="34" spans="1:7" x14ac:dyDescent="0.3">
      <c r="B34" s="96" t="s">
        <v>105</v>
      </c>
      <c r="C34" s="96" t="s">
        <v>106</v>
      </c>
      <c r="D34" s="98">
        <v>2.4868995751603507E-14</v>
      </c>
      <c r="E34" s="98">
        <v>0</v>
      </c>
      <c r="F34" s="96" t="s">
        <v>80</v>
      </c>
    </row>
    <row r="35" spans="1:7" x14ac:dyDescent="0.3">
      <c r="B35" s="96" t="s">
        <v>107</v>
      </c>
      <c r="C35" s="96" t="s">
        <v>108</v>
      </c>
      <c r="D35" s="98">
        <v>66.541840297165322</v>
      </c>
      <c r="E35" s="98">
        <v>0</v>
      </c>
      <c r="F35" s="96" t="s">
        <v>80</v>
      </c>
    </row>
    <row r="36" spans="1:7" x14ac:dyDescent="0.3">
      <c r="B36" s="96" t="s">
        <v>109</v>
      </c>
      <c r="C36" s="96" t="s">
        <v>110</v>
      </c>
      <c r="D36" s="98">
        <v>83.458159702834635</v>
      </c>
      <c r="E36" s="98">
        <v>150</v>
      </c>
      <c r="F36" s="96" t="s">
        <v>80</v>
      </c>
    </row>
    <row r="37" spans="1:7" x14ac:dyDescent="0.3">
      <c r="B37" s="96" t="s">
        <v>111</v>
      </c>
      <c r="C37" s="96" t="s">
        <v>112</v>
      </c>
      <c r="D37" s="98">
        <v>0</v>
      </c>
      <c r="E37" s="98">
        <v>0</v>
      </c>
      <c r="F37" s="96" t="s">
        <v>80</v>
      </c>
    </row>
    <row r="38" spans="1:7" x14ac:dyDescent="0.3">
      <c r="B38" s="96" t="s">
        <v>113</v>
      </c>
      <c r="C38" s="96" t="s">
        <v>114</v>
      </c>
      <c r="D38" s="98">
        <v>0</v>
      </c>
      <c r="E38" s="98">
        <v>0</v>
      </c>
      <c r="F38" s="96" t="s">
        <v>80</v>
      </c>
    </row>
    <row r="39" spans="1:7" x14ac:dyDescent="0.3">
      <c r="B39" s="96" t="s">
        <v>115</v>
      </c>
      <c r="C39" s="96" t="s">
        <v>116</v>
      </c>
      <c r="D39" s="98">
        <v>33.458159702834649</v>
      </c>
      <c r="E39" s="98">
        <v>100</v>
      </c>
      <c r="F39" s="96" t="s">
        <v>80</v>
      </c>
    </row>
    <row r="40" spans="1:7" ht="15" thickBot="1" x14ac:dyDescent="0.35">
      <c r="B40" s="94" t="s">
        <v>117</v>
      </c>
      <c r="C40" s="94" t="s">
        <v>118</v>
      </c>
      <c r="D40" s="97">
        <v>66.541840297165351</v>
      </c>
      <c r="E40" s="97">
        <v>0</v>
      </c>
      <c r="F40" s="94" t="s">
        <v>80</v>
      </c>
    </row>
    <row r="43" spans="1:7" ht="15" thickBot="1" x14ac:dyDescent="0.35">
      <c r="A43" t="s">
        <v>71</v>
      </c>
    </row>
    <row r="44" spans="1:7" ht="15" thickBot="1" x14ac:dyDescent="0.35">
      <c r="B44" s="95" t="s">
        <v>65</v>
      </c>
      <c r="C44" s="95" t="s">
        <v>66</v>
      </c>
      <c r="D44" s="95" t="s">
        <v>72</v>
      </c>
      <c r="E44" s="95" t="s">
        <v>73</v>
      </c>
      <c r="F44" s="95" t="s">
        <v>74</v>
      </c>
      <c r="G44" s="95" t="s">
        <v>75</v>
      </c>
    </row>
    <row r="45" spans="1:7" x14ac:dyDescent="0.3">
      <c r="B45" s="96" t="s">
        <v>119</v>
      </c>
      <c r="C45" s="96" t="s">
        <v>120</v>
      </c>
      <c r="D45" s="98">
        <v>50</v>
      </c>
      <c r="E45" s="96" t="s">
        <v>121</v>
      </c>
      <c r="F45" s="96" t="s">
        <v>122</v>
      </c>
      <c r="G45" s="96">
        <v>0</v>
      </c>
    </row>
    <row r="46" spans="1:7" x14ac:dyDescent="0.3">
      <c r="B46" s="96" t="s">
        <v>123</v>
      </c>
      <c r="C46" s="96" t="s">
        <v>124</v>
      </c>
      <c r="D46" s="98">
        <v>150</v>
      </c>
      <c r="E46" s="96" t="s">
        <v>125</v>
      </c>
      <c r="F46" s="96" t="s">
        <v>122</v>
      </c>
      <c r="G46" s="96">
        <v>0</v>
      </c>
    </row>
    <row r="47" spans="1:7" x14ac:dyDescent="0.3">
      <c r="B47" s="96" t="s">
        <v>126</v>
      </c>
      <c r="C47" s="96" t="s">
        <v>127</v>
      </c>
      <c r="D47" s="98">
        <v>200</v>
      </c>
      <c r="E47" s="96" t="s">
        <v>128</v>
      </c>
      <c r="F47" s="96" t="s">
        <v>122</v>
      </c>
      <c r="G47" s="96">
        <v>0</v>
      </c>
    </row>
    <row r="48" spans="1:7" x14ac:dyDescent="0.3">
      <c r="B48" s="96" t="s">
        <v>129</v>
      </c>
      <c r="C48" s="96" t="s">
        <v>130</v>
      </c>
      <c r="D48" s="98">
        <v>150</v>
      </c>
      <c r="E48" s="96" t="s">
        <v>131</v>
      </c>
      <c r="F48" s="96" t="s">
        <v>122</v>
      </c>
      <c r="G48" s="96">
        <v>0</v>
      </c>
    </row>
    <row r="49" spans="2:7" x14ac:dyDescent="0.3">
      <c r="B49" s="96" t="s">
        <v>132</v>
      </c>
      <c r="C49" s="96" t="s">
        <v>133</v>
      </c>
      <c r="D49" s="98">
        <v>50</v>
      </c>
      <c r="E49" s="96" t="s">
        <v>134</v>
      </c>
      <c r="F49" s="96" t="s">
        <v>122</v>
      </c>
      <c r="G49" s="96">
        <v>0</v>
      </c>
    </row>
    <row r="50" spans="2:7" x14ac:dyDescent="0.3">
      <c r="B50" s="96" t="s">
        <v>135</v>
      </c>
      <c r="C50" s="96" t="s">
        <v>136</v>
      </c>
      <c r="D50" s="98">
        <v>100</v>
      </c>
      <c r="E50" s="96" t="s">
        <v>137</v>
      </c>
      <c r="F50" s="96" t="s">
        <v>122</v>
      </c>
      <c r="G50" s="96">
        <v>0</v>
      </c>
    </row>
    <row r="51" spans="2:7" x14ac:dyDescent="0.3">
      <c r="B51" s="96" t="s">
        <v>138</v>
      </c>
      <c r="C51" s="96" t="s">
        <v>139</v>
      </c>
      <c r="D51" s="98">
        <v>150</v>
      </c>
      <c r="E51" s="96" t="s">
        <v>140</v>
      </c>
      <c r="F51" s="96" t="s">
        <v>122</v>
      </c>
      <c r="G51" s="96">
        <v>0</v>
      </c>
    </row>
    <row r="52" spans="2:7" x14ac:dyDescent="0.3">
      <c r="B52" s="96" t="s">
        <v>141</v>
      </c>
      <c r="C52" s="96" t="s">
        <v>142</v>
      </c>
      <c r="D52" s="98">
        <v>150</v>
      </c>
      <c r="E52" s="96" t="s">
        <v>143</v>
      </c>
      <c r="F52" s="96" t="s">
        <v>122</v>
      </c>
      <c r="G52" s="96">
        <v>0</v>
      </c>
    </row>
    <row r="53" spans="2:7" x14ac:dyDescent="0.3">
      <c r="B53" s="96" t="s">
        <v>144</v>
      </c>
      <c r="C53" s="96" t="s">
        <v>145</v>
      </c>
      <c r="D53" s="98">
        <v>100</v>
      </c>
      <c r="E53" s="96" t="s">
        <v>146</v>
      </c>
      <c r="F53" s="96" t="s">
        <v>122</v>
      </c>
      <c r="G53" s="96">
        <v>0</v>
      </c>
    </row>
    <row r="54" spans="2:7" x14ac:dyDescent="0.3">
      <c r="B54" s="96" t="s">
        <v>78</v>
      </c>
      <c r="C54" s="96" t="s">
        <v>79</v>
      </c>
      <c r="D54" s="98">
        <v>50</v>
      </c>
      <c r="E54" s="96" t="s">
        <v>147</v>
      </c>
      <c r="F54" s="96" t="s">
        <v>148</v>
      </c>
      <c r="G54" s="98">
        <v>50</v>
      </c>
    </row>
    <row r="55" spans="2:7" x14ac:dyDescent="0.3">
      <c r="B55" s="96" t="s">
        <v>81</v>
      </c>
      <c r="C55" s="96" t="s">
        <v>82</v>
      </c>
      <c r="D55" s="98">
        <v>0</v>
      </c>
      <c r="E55" s="96" t="s">
        <v>149</v>
      </c>
      <c r="F55" s="96" t="s">
        <v>122</v>
      </c>
      <c r="G55" s="98">
        <v>0</v>
      </c>
    </row>
    <row r="56" spans="2:7" x14ac:dyDescent="0.3">
      <c r="B56" s="96" t="s">
        <v>83</v>
      </c>
      <c r="C56" s="96" t="s">
        <v>84</v>
      </c>
      <c r="D56" s="98">
        <v>0</v>
      </c>
      <c r="E56" s="96" t="s">
        <v>150</v>
      </c>
      <c r="F56" s="96" t="s">
        <v>122</v>
      </c>
      <c r="G56" s="98">
        <v>0</v>
      </c>
    </row>
    <row r="57" spans="2:7" x14ac:dyDescent="0.3">
      <c r="B57" s="96" t="s">
        <v>85</v>
      </c>
      <c r="C57" s="96" t="s">
        <v>86</v>
      </c>
      <c r="D57" s="98">
        <v>0</v>
      </c>
      <c r="E57" s="96" t="s">
        <v>151</v>
      </c>
      <c r="F57" s="96" t="s">
        <v>122</v>
      </c>
      <c r="G57" s="98">
        <v>0</v>
      </c>
    </row>
    <row r="58" spans="2:7" x14ac:dyDescent="0.3">
      <c r="B58" s="96" t="s">
        <v>87</v>
      </c>
      <c r="C58" s="96" t="s">
        <v>88</v>
      </c>
      <c r="D58" s="98">
        <v>0</v>
      </c>
      <c r="E58" s="96" t="s">
        <v>152</v>
      </c>
      <c r="F58" s="96" t="s">
        <v>122</v>
      </c>
      <c r="G58" s="98">
        <v>0</v>
      </c>
    </row>
    <row r="59" spans="2:7" x14ac:dyDescent="0.3">
      <c r="B59" s="96" t="s">
        <v>89</v>
      </c>
      <c r="C59" s="96" t="s">
        <v>90</v>
      </c>
      <c r="D59" s="98">
        <v>0</v>
      </c>
      <c r="E59" s="96" t="s">
        <v>153</v>
      </c>
      <c r="F59" s="96" t="s">
        <v>122</v>
      </c>
      <c r="G59" s="98">
        <v>0</v>
      </c>
    </row>
    <row r="60" spans="2:7" x14ac:dyDescent="0.3">
      <c r="B60" s="96" t="s">
        <v>91</v>
      </c>
      <c r="C60" s="96" t="s">
        <v>92</v>
      </c>
      <c r="D60" s="98">
        <v>100</v>
      </c>
      <c r="E60" s="96" t="s">
        <v>154</v>
      </c>
      <c r="F60" s="96" t="s">
        <v>148</v>
      </c>
      <c r="G60" s="98">
        <v>100</v>
      </c>
    </row>
    <row r="61" spans="2:7" x14ac:dyDescent="0.3">
      <c r="B61" s="96" t="s">
        <v>93</v>
      </c>
      <c r="C61" s="96" t="s">
        <v>94</v>
      </c>
      <c r="D61" s="98">
        <v>0</v>
      </c>
      <c r="E61" s="96" t="s">
        <v>155</v>
      </c>
      <c r="F61" s="96" t="s">
        <v>122</v>
      </c>
      <c r="G61" s="98">
        <v>0</v>
      </c>
    </row>
    <row r="62" spans="2:7" x14ac:dyDescent="0.3">
      <c r="B62" s="96" t="s">
        <v>95</v>
      </c>
      <c r="C62" s="96" t="s">
        <v>96</v>
      </c>
      <c r="D62" s="98">
        <v>0</v>
      </c>
      <c r="E62" s="96" t="s">
        <v>156</v>
      </c>
      <c r="F62" s="96" t="s">
        <v>122</v>
      </c>
      <c r="G62" s="98">
        <v>0</v>
      </c>
    </row>
    <row r="63" spans="2:7" x14ac:dyDescent="0.3">
      <c r="B63" s="96" t="s">
        <v>97</v>
      </c>
      <c r="C63" s="96" t="s">
        <v>98</v>
      </c>
      <c r="D63" s="98">
        <v>150</v>
      </c>
      <c r="E63" s="96" t="s">
        <v>157</v>
      </c>
      <c r="F63" s="96" t="s">
        <v>148</v>
      </c>
      <c r="G63" s="98">
        <v>150</v>
      </c>
    </row>
    <row r="64" spans="2:7" x14ac:dyDescent="0.3">
      <c r="B64" s="96" t="s">
        <v>99</v>
      </c>
      <c r="C64" s="96" t="s">
        <v>100</v>
      </c>
      <c r="D64" s="98">
        <v>0</v>
      </c>
      <c r="E64" s="96" t="s">
        <v>158</v>
      </c>
      <c r="F64" s="96" t="s">
        <v>122</v>
      </c>
      <c r="G64" s="98">
        <v>0</v>
      </c>
    </row>
    <row r="65" spans="2:7" x14ac:dyDescent="0.3">
      <c r="B65" s="96" t="s">
        <v>101</v>
      </c>
      <c r="C65" s="96" t="s">
        <v>102</v>
      </c>
      <c r="D65" s="98">
        <v>0</v>
      </c>
      <c r="E65" s="96" t="s">
        <v>159</v>
      </c>
      <c r="F65" s="96" t="s">
        <v>122</v>
      </c>
      <c r="G65" s="98">
        <v>0</v>
      </c>
    </row>
    <row r="66" spans="2:7" x14ac:dyDescent="0.3">
      <c r="B66" s="96" t="s">
        <v>103</v>
      </c>
      <c r="C66" s="96" t="s">
        <v>104</v>
      </c>
      <c r="D66" s="98">
        <v>0</v>
      </c>
      <c r="E66" s="96" t="s">
        <v>160</v>
      </c>
      <c r="F66" s="96" t="s">
        <v>122</v>
      </c>
      <c r="G66" s="98">
        <v>0</v>
      </c>
    </row>
    <row r="67" spans="2:7" x14ac:dyDescent="0.3">
      <c r="B67" s="96" t="s">
        <v>105</v>
      </c>
      <c r="C67" s="96" t="s">
        <v>106</v>
      </c>
      <c r="D67" s="98">
        <v>0</v>
      </c>
      <c r="E67" s="96" t="s">
        <v>161</v>
      </c>
      <c r="F67" s="96" t="s">
        <v>122</v>
      </c>
      <c r="G67" s="98">
        <v>0</v>
      </c>
    </row>
    <row r="68" spans="2:7" x14ac:dyDescent="0.3">
      <c r="B68" s="96" t="s">
        <v>107</v>
      </c>
      <c r="C68" s="96" t="s">
        <v>108</v>
      </c>
      <c r="D68" s="98">
        <v>0</v>
      </c>
      <c r="E68" s="96" t="s">
        <v>162</v>
      </c>
      <c r="F68" s="96" t="s">
        <v>122</v>
      </c>
      <c r="G68" s="98">
        <v>0</v>
      </c>
    </row>
    <row r="69" spans="2:7" x14ac:dyDescent="0.3">
      <c r="B69" s="96" t="s">
        <v>109</v>
      </c>
      <c r="C69" s="96" t="s">
        <v>110</v>
      </c>
      <c r="D69" s="98">
        <v>150</v>
      </c>
      <c r="E69" s="96" t="s">
        <v>163</v>
      </c>
      <c r="F69" s="96" t="s">
        <v>148</v>
      </c>
      <c r="G69" s="98">
        <v>150</v>
      </c>
    </row>
    <row r="70" spans="2:7" x14ac:dyDescent="0.3">
      <c r="B70" s="96" t="s">
        <v>111</v>
      </c>
      <c r="C70" s="96" t="s">
        <v>112</v>
      </c>
      <c r="D70" s="98">
        <v>0</v>
      </c>
      <c r="E70" s="96" t="s">
        <v>164</v>
      </c>
      <c r="F70" s="96" t="s">
        <v>122</v>
      </c>
      <c r="G70" s="98">
        <v>0</v>
      </c>
    </row>
    <row r="71" spans="2:7" x14ac:dyDescent="0.3">
      <c r="B71" s="96" t="s">
        <v>113</v>
      </c>
      <c r="C71" s="96" t="s">
        <v>114</v>
      </c>
      <c r="D71" s="98">
        <v>0</v>
      </c>
      <c r="E71" s="96" t="s">
        <v>165</v>
      </c>
      <c r="F71" s="96" t="s">
        <v>122</v>
      </c>
      <c r="G71" s="98">
        <v>0</v>
      </c>
    </row>
    <row r="72" spans="2:7" x14ac:dyDescent="0.3">
      <c r="B72" s="96" t="s">
        <v>115</v>
      </c>
      <c r="C72" s="96" t="s">
        <v>116</v>
      </c>
      <c r="D72" s="98">
        <v>100</v>
      </c>
      <c r="E72" s="96" t="s">
        <v>166</v>
      </c>
      <c r="F72" s="96" t="s">
        <v>148</v>
      </c>
      <c r="G72" s="98">
        <v>100</v>
      </c>
    </row>
    <row r="73" spans="2:7" ht="15" thickBot="1" x14ac:dyDescent="0.35">
      <c r="B73" s="94" t="s">
        <v>117</v>
      </c>
      <c r="C73" s="94" t="s">
        <v>118</v>
      </c>
      <c r="D73" s="97">
        <v>0</v>
      </c>
      <c r="E73" s="94" t="s">
        <v>167</v>
      </c>
      <c r="F73" s="94" t="s">
        <v>122</v>
      </c>
      <c r="G73" s="9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AE18-0DB1-4A5E-947C-E1524FE1C300}">
  <dimension ref="A1:H41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6.88671875" bestFit="1" customWidth="1"/>
    <col min="4" max="4" width="5.77734375" bestFit="1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93" t="s">
        <v>168</v>
      </c>
    </row>
    <row r="2" spans="1:8" x14ac:dyDescent="0.3">
      <c r="A2" s="93" t="s">
        <v>53</v>
      </c>
    </row>
    <row r="3" spans="1:8" x14ac:dyDescent="0.3">
      <c r="A3" s="93" t="s">
        <v>187</v>
      </c>
    </row>
    <row r="6" spans="1:8" ht="15" thickBot="1" x14ac:dyDescent="0.35">
      <c r="A6" t="s">
        <v>69</v>
      </c>
    </row>
    <row r="7" spans="1:8" x14ac:dyDescent="0.3">
      <c r="B7" s="99"/>
      <c r="C7" s="99"/>
      <c r="D7" s="99" t="s">
        <v>170</v>
      </c>
      <c r="E7" s="99" t="s">
        <v>172</v>
      </c>
      <c r="F7" s="99" t="s">
        <v>177</v>
      </c>
      <c r="G7" s="99" t="s">
        <v>190</v>
      </c>
      <c r="H7" s="99" t="s">
        <v>190</v>
      </c>
    </row>
    <row r="8" spans="1:8" ht="15" thickBot="1" x14ac:dyDescent="0.35">
      <c r="B8" s="100" t="s">
        <v>65</v>
      </c>
      <c r="C8" s="100" t="s">
        <v>66</v>
      </c>
      <c r="D8" s="100" t="s">
        <v>171</v>
      </c>
      <c r="E8" s="100" t="s">
        <v>188</v>
      </c>
      <c r="F8" s="100" t="s">
        <v>189</v>
      </c>
      <c r="G8" s="100" t="s">
        <v>191</v>
      </c>
      <c r="H8" s="100" t="s">
        <v>192</v>
      </c>
    </row>
    <row r="9" spans="1:8" x14ac:dyDescent="0.3">
      <c r="B9" s="96" t="s">
        <v>78</v>
      </c>
      <c r="C9" s="96" t="s">
        <v>79</v>
      </c>
      <c r="D9" s="96">
        <v>50</v>
      </c>
      <c r="E9" s="96">
        <v>0</v>
      </c>
      <c r="F9" s="96">
        <v>50</v>
      </c>
      <c r="G9" s="96">
        <v>100</v>
      </c>
      <c r="H9" s="96">
        <v>1E+30</v>
      </c>
    </row>
    <row r="10" spans="1:8" x14ac:dyDescent="0.3">
      <c r="B10" s="96" t="s">
        <v>81</v>
      </c>
      <c r="C10" s="96" t="s">
        <v>82</v>
      </c>
      <c r="D10" s="96">
        <v>0</v>
      </c>
      <c r="E10" s="96">
        <v>0</v>
      </c>
      <c r="F10" s="96">
        <v>150</v>
      </c>
      <c r="G10" s="96">
        <v>0</v>
      </c>
      <c r="H10" s="96">
        <v>1</v>
      </c>
    </row>
    <row r="11" spans="1:8" x14ac:dyDescent="0.3">
      <c r="B11" s="96" t="s">
        <v>83</v>
      </c>
      <c r="C11" s="96" t="s">
        <v>84</v>
      </c>
      <c r="D11" s="96">
        <v>0</v>
      </c>
      <c r="E11" s="96">
        <v>48</v>
      </c>
      <c r="F11" s="96">
        <v>200</v>
      </c>
      <c r="G11" s="96">
        <v>1E+30</v>
      </c>
      <c r="H11" s="96">
        <v>48</v>
      </c>
    </row>
    <row r="12" spans="1:8" x14ac:dyDescent="0.3">
      <c r="B12" s="96" t="s">
        <v>85</v>
      </c>
      <c r="C12" s="96" t="s">
        <v>86</v>
      </c>
      <c r="D12" s="96">
        <v>0</v>
      </c>
      <c r="E12" s="96">
        <v>0</v>
      </c>
      <c r="F12" s="96">
        <v>150</v>
      </c>
      <c r="G12" s="96">
        <v>1</v>
      </c>
      <c r="H12" s="96">
        <v>0</v>
      </c>
    </row>
    <row r="13" spans="1:8" x14ac:dyDescent="0.3">
      <c r="B13" s="96" t="s">
        <v>87</v>
      </c>
      <c r="C13" s="96" t="s">
        <v>88</v>
      </c>
      <c r="D13" s="96">
        <v>0</v>
      </c>
      <c r="E13" s="96">
        <v>100</v>
      </c>
      <c r="F13" s="96">
        <v>4</v>
      </c>
      <c r="G13" s="96">
        <v>1E+30</v>
      </c>
      <c r="H13" s="96">
        <v>100</v>
      </c>
    </row>
    <row r="14" spans="1:8" x14ac:dyDescent="0.3">
      <c r="B14" s="96" t="s">
        <v>89</v>
      </c>
      <c r="C14" s="96" t="s">
        <v>90</v>
      </c>
      <c r="D14" s="96">
        <v>0</v>
      </c>
      <c r="E14" s="96">
        <v>1</v>
      </c>
      <c r="F14" s="96">
        <v>5</v>
      </c>
      <c r="G14" s="96">
        <v>1E+30</v>
      </c>
      <c r="H14" s="96">
        <v>1</v>
      </c>
    </row>
    <row r="15" spans="1:8" x14ac:dyDescent="0.3">
      <c r="B15" s="96" t="s">
        <v>91</v>
      </c>
      <c r="C15" s="96" t="s">
        <v>92</v>
      </c>
      <c r="D15" s="96">
        <v>100</v>
      </c>
      <c r="E15" s="96">
        <v>0</v>
      </c>
      <c r="F15" s="96">
        <v>6</v>
      </c>
      <c r="G15" s="96">
        <v>1</v>
      </c>
      <c r="H15" s="96">
        <v>1E+30</v>
      </c>
    </row>
    <row r="16" spans="1:8" x14ac:dyDescent="0.3">
      <c r="B16" s="96" t="s">
        <v>93</v>
      </c>
      <c r="C16" s="96" t="s">
        <v>94</v>
      </c>
      <c r="D16" s="96">
        <v>0</v>
      </c>
      <c r="E16" s="96">
        <v>6</v>
      </c>
      <c r="F16" s="96">
        <v>10</v>
      </c>
      <c r="G16" s="96">
        <v>1E+30</v>
      </c>
      <c r="H16" s="96">
        <v>6</v>
      </c>
    </row>
    <row r="17" spans="1:8" x14ac:dyDescent="0.3">
      <c r="B17" s="96" t="s">
        <v>95</v>
      </c>
      <c r="C17" s="96" t="s">
        <v>96</v>
      </c>
      <c r="D17" s="96">
        <v>0</v>
      </c>
      <c r="E17" s="96">
        <v>103</v>
      </c>
      <c r="F17" s="96">
        <v>6</v>
      </c>
      <c r="G17" s="96">
        <v>1E+30</v>
      </c>
      <c r="H17" s="96">
        <v>103</v>
      </c>
    </row>
    <row r="18" spans="1:8" x14ac:dyDescent="0.3">
      <c r="B18" s="96" t="s">
        <v>97</v>
      </c>
      <c r="C18" s="96" t="s">
        <v>98</v>
      </c>
      <c r="D18" s="96">
        <v>150</v>
      </c>
      <c r="E18" s="96">
        <v>0</v>
      </c>
      <c r="F18" s="96">
        <v>3</v>
      </c>
      <c r="G18" s="96">
        <v>1</v>
      </c>
      <c r="H18" s="96">
        <v>1E+30</v>
      </c>
    </row>
    <row r="19" spans="1:8" x14ac:dyDescent="0.3">
      <c r="B19" s="96" t="s">
        <v>99</v>
      </c>
      <c r="C19" s="96" t="s">
        <v>100</v>
      </c>
      <c r="D19" s="96">
        <v>0</v>
      </c>
      <c r="E19" s="96">
        <v>3</v>
      </c>
      <c r="F19" s="96">
        <v>8</v>
      </c>
      <c r="G19" s="96">
        <v>1E+30</v>
      </c>
      <c r="H19" s="96">
        <v>3</v>
      </c>
    </row>
    <row r="20" spans="1:8" x14ac:dyDescent="0.3">
      <c r="B20" s="96" t="s">
        <v>101</v>
      </c>
      <c r="C20" s="96" t="s">
        <v>102</v>
      </c>
      <c r="D20" s="96">
        <v>0</v>
      </c>
      <c r="E20" s="96">
        <v>1</v>
      </c>
      <c r="F20" s="96">
        <v>4</v>
      </c>
      <c r="G20" s="96">
        <v>1E+30</v>
      </c>
      <c r="H20" s="96">
        <v>1</v>
      </c>
    </row>
    <row r="21" spans="1:8" x14ac:dyDescent="0.3">
      <c r="B21" s="96" t="s">
        <v>103</v>
      </c>
      <c r="C21" s="96" t="s">
        <v>104</v>
      </c>
      <c r="D21" s="96">
        <v>0</v>
      </c>
      <c r="E21" s="96">
        <v>104</v>
      </c>
      <c r="F21" s="96">
        <v>5</v>
      </c>
      <c r="G21" s="96">
        <v>1E+30</v>
      </c>
      <c r="H21" s="96">
        <v>104</v>
      </c>
    </row>
    <row r="22" spans="1:8" x14ac:dyDescent="0.3">
      <c r="B22" s="96" t="s">
        <v>105</v>
      </c>
      <c r="C22" s="96" t="s">
        <v>106</v>
      </c>
      <c r="D22" s="96">
        <v>0</v>
      </c>
      <c r="E22" s="96">
        <v>0</v>
      </c>
      <c r="F22" s="96">
        <v>1</v>
      </c>
      <c r="G22" s="96">
        <v>1E+30</v>
      </c>
      <c r="H22" s="96">
        <v>0</v>
      </c>
    </row>
    <row r="23" spans="1:8" x14ac:dyDescent="0.3">
      <c r="B23" s="96" t="s">
        <v>107</v>
      </c>
      <c r="C23" s="96" t="s">
        <v>108</v>
      </c>
      <c r="D23" s="96">
        <v>0</v>
      </c>
      <c r="E23" s="96">
        <v>0</v>
      </c>
      <c r="F23" s="96">
        <v>3</v>
      </c>
      <c r="G23" s="96">
        <v>3</v>
      </c>
      <c r="H23" s="96">
        <v>0</v>
      </c>
    </row>
    <row r="24" spans="1:8" x14ac:dyDescent="0.3">
      <c r="B24" s="96" t="s">
        <v>109</v>
      </c>
      <c r="C24" s="96" t="s">
        <v>110</v>
      </c>
      <c r="D24" s="96">
        <v>150</v>
      </c>
      <c r="E24" s="96">
        <v>0</v>
      </c>
      <c r="F24" s="96">
        <v>1</v>
      </c>
      <c r="G24" s="96">
        <v>0</v>
      </c>
      <c r="H24" s="96">
        <v>3</v>
      </c>
    </row>
    <row r="25" spans="1:8" x14ac:dyDescent="0.3">
      <c r="B25" s="96" t="s">
        <v>111</v>
      </c>
      <c r="C25" s="96" t="s">
        <v>112</v>
      </c>
      <c r="D25" s="96">
        <v>0</v>
      </c>
      <c r="E25" s="96">
        <v>105</v>
      </c>
      <c r="F25" s="96">
        <v>7</v>
      </c>
      <c r="G25" s="96">
        <v>1E+30</v>
      </c>
      <c r="H25" s="96">
        <v>105</v>
      </c>
    </row>
    <row r="26" spans="1:8" x14ac:dyDescent="0.3">
      <c r="B26" s="96" t="s">
        <v>113</v>
      </c>
      <c r="C26" s="96" t="s">
        <v>114</v>
      </c>
      <c r="D26" s="96">
        <v>0</v>
      </c>
      <c r="E26" s="96">
        <v>0</v>
      </c>
      <c r="F26" s="96">
        <v>2</v>
      </c>
      <c r="G26" s="96">
        <v>1E+30</v>
      </c>
      <c r="H26" s="96">
        <v>0</v>
      </c>
    </row>
    <row r="27" spans="1:8" x14ac:dyDescent="0.3">
      <c r="B27" s="96" t="s">
        <v>115</v>
      </c>
      <c r="C27" s="96" t="s">
        <v>116</v>
      </c>
      <c r="D27" s="96">
        <v>100</v>
      </c>
      <c r="E27" s="96">
        <v>0</v>
      </c>
      <c r="F27" s="96">
        <v>4</v>
      </c>
      <c r="G27" s="96">
        <v>0</v>
      </c>
      <c r="H27" s="96">
        <v>1E+30</v>
      </c>
    </row>
    <row r="28" spans="1:8" ht="15" thickBot="1" x14ac:dyDescent="0.35">
      <c r="B28" s="94" t="s">
        <v>117</v>
      </c>
      <c r="C28" s="94" t="s">
        <v>118</v>
      </c>
      <c r="D28" s="94">
        <v>0</v>
      </c>
      <c r="E28" s="94">
        <v>0</v>
      </c>
      <c r="F28" s="94">
        <v>2</v>
      </c>
      <c r="G28" s="94">
        <v>1E+30</v>
      </c>
      <c r="H28" s="94">
        <v>0</v>
      </c>
    </row>
    <row r="30" spans="1:8" ht="15" thickBot="1" x14ac:dyDescent="0.35">
      <c r="A30" t="s">
        <v>71</v>
      </c>
    </row>
    <row r="31" spans="1:8" x14ac:dyDescent="0.3">
      <c r="B31" s="99"/>
      <c r="C31" s="99"/>
      <c r="D31" s="99" t="s">
        <v>170</v>
      </c>
      <c r="E31" s="99" t="s">
        <v>193</v>
      </c>
      <c r="F31" s="99" t="s">
        <v>195</v>
      </c>
      <c r="G31" s="99" t="s">
        <v>190</v>
      </c>
      <c r="H31" s="99" t="s">
        <v>190</v>
      </c>
    </row>
    <row r="32" spans="1:8" ht="15" thickBot="1" x14ac:dyDescent="0.35">
      <c r="B32" s="100" t="s">
        <v>65</v>
      </c>
      <c r="C32" s="100" t="s">
        <v>66</v>
      </c>
      <c r="D32" s="100" t="s">
        <v>171</v>
      </c>
      <c r="E32" s="100" t="s">
        <v>194</v>
      </c>
      <c r="F32" s="100" t="s">
        <v>196</v>
      </c>
      <c r="G32" s="100" t="s">
        <v>191</v>
      </c>
      <c r="H32" s="100" t="s">
        <v>192</v>
      </c>
    </row>
    <row r="33" spans="2:8" x14ac:dyDescent="0.3">
      <c r="B33" s="96" t="s">
        <v>119</v>
      </c>
      <c r="C33" s="96" t="s">
        <v>120</v>
      </c>
      <c r="D33" s="96">
        <v>50</v>
      </c>
      <c r="E33" s="96">
        <v>-97</v>
      </c>
      <c r="F33" s="96">
        <v>50</v>
      </c>
      <c r="G33" s="96">
        <v>0</v>
      </c>
      <c r="H33" s="96">
        <v>50</v>
      </c>
    </row>
    <row r="34" spans="2:8" x14ac:dyDescent="0.3">
      <c r="B34" s="96" t="s">
        <v>123</v>
      </c>
      <c r="C34" s="96" t="s">
        <v>124</v>
      </c>
      <c r="D34" s="96">
        <v>150</v>
      </c>
      <c r="E34" s="96">
        <v>3</v>
      </c>
      <c r="F34" s="96">
        <v>150</v>
      </c>
      <c r="G34" s="96">
        <v>0</v>
      </c>
      <c r="H34" s="96">
        <v>150</v>
      </c>
    </row>
    <row r="35" spans="2:8" x14ac:dyDescent="0.3">
      <c r="B35" s="96" t="s">
        <v>126</v>
      </c>
      <c r="C35" s="96" t="s">
        <v>127</v>
      </c>
      <c r="D35" s="96">
        <v>200</v>
      </c>
      <c r="E35" s="96">
        <v>5</v>
      </c>
      <c r="F35" s="96">
        <v>200</v>
      </c>
      <c r="G35" s="96">
        <v>0</v>
      </c>
      <c r="H35" s="96">
        <v>0</v>
      </c>
    </row>
    <row r="36" spans="2:8" x14ac:dyDescent="0.3">
      <c r="B36" s="96" t="s">
        <v>129</v>
      </c>
      <c r="C36" s="96" t="s">
        <v>130</v>
      </c>
      <c r="D36" s="96">
        <v>150</v>
      </c>
      <c r="E36" s="96">
        <v>3</v>
      </c>
      <c r="F36" s="96">
        <v>150</v>
      </c>
      <c r="G36" s="96">
        <v>0</v>
      </c>
      <c r="H36" s="96">
        <v>0</v>
      </c>
    </row>
    <row r="37" spans="2:8" x14ac:dyDescent="0.3">
      <c r="B37" s="96" t="s">
        <v>132</v>
      </c>
      <c r="C37" s="96" t="s">
        <v>133</v>
      </c>
      <c r="D37" s="96">
        <v>50</v>
      </c>
      <c r="E37" s="96">
        <v>147</v>
      </c>
      <c r="F37" s="96">
        <v>50</v>
      </c>
      <c r="G37" s="96">
        <v>150</v>
      </c>
      <c r="H37" s="96">
        <v>0</v>
      </c>
    </row>
    <row r="38" spans="2:8" x14ac:dyDescent="0.3">
      <c r="B38" s="96" t="s">
        <v>135</v>
      </c>
      <c r="C38" s="96" t="s">
        <v>136</v>
      </c>
      <c r="D38" s="96">
        <v>100</v>
      </c>
      <c r="E38" s="96">
        <v>1</v>
      </c>
      <c r="F38" s="96">
        <v>100</v>
      </c>
      <c r="G38" s="96">
        <v>0</v>
      </c>
      <c r="H38" s="96">
        <v>0</v>
      </c>
    </row>
    <row r="39" spans="2:8" x14ac:dyDescent="0.3">
      <c r="B39" s="96" t="s">
        <v>138</v>
      </c>
      <c r="C39" s="96" t="s">
        <v>139</v>
      </c>
      <c r="D39" s="96">
        <v>150</v>
      </c>
      <c r="E39" s="96">
        <v>0</v>
      </c>
      <c r="F39" s="96">
        <v>150</v>
      </c>
      <c r="G39" s="96">
        <v>0</v>
      </c>
      <c r="H39" s="96">
        <v>1E+30</v>
      </c>
    </row>
    <row r="40" spans="2:8" x14ac:dyDescent="0.3">
      <c r="B40" s="96" t="s">
        <v>141</v>
      </c>
      <c r="C40" s="96" t="s">
        <v>142</v>
      </c>
      <c r="D40" s="96">
        <v>150</v>
      </c>
      <c r="E40" s="96">
        <v>-2</v>
      </c>
      <c r="F40" s="96">
        <v>150</v>
      </c>
      <c r="G40" s="96">
        <v>0</v>
      </c>
      <c r="H40" s="96">
        <v>0</v>
      </c>
    </row>
    <row r="41" spans="2:8" ht="15" thickBot="1" x14ac:dyDescent="0.35">
      <c r="B41" s="94" t="s">
        <v>144</v>
      </c>
      <c r="C41" s="94" t="s">
        <v>145</v>
      </c>
      <c r="D41" s="94">
        <v>100</v>
      </c>
      <c r="E41" s="94">
        <v>-1</v>
      </c>
      <c r="F41" s="94">
        <v>100</v>
      </c>
      <c r="G41" s="94">
        <v>0</v>
      </c>
      <c r="H41" s="9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F039-F278-41A5-8867-0F36DA8AFBE0}">
  <dimension ref="A1:J32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9" bestFit="1" customWidth="1"/>
    <col min="4" max="4" width="5.77734375" bestFit="1" customWidth="1"/>
    <col min="5" max="5" width="2.33203125" customWidth="1"/>
    <col min="6" max="6" width="6.109375" bestFit="1" customWidth="1"/>
    <col min="7" max="7" width="9" bestFit="1" customWidth="1"/>
    <col min="8" max="8" width="2.33203125" customWidth="1"/>
    <col min="9" max="9" width="6.21875" bestFit="1" customWidth="1"/>
    <col min="10" max="10" width="9" bestFit="1" customWidth="1"/>
  </cols>
  <sheetData>
    <row r="1" spans="1:10" x14ac:dyDescent="0.3">
      <c r="A1" s="93" t="s">
        <v>176</v>
      </c>
    </row>
    <row r="2" spans="1:10" x14ac:dyDescent="0.3">
      <c r="A2" s="93" t="s">
        <v>53</v>
      </c>
    </row>
    <row r="3" spans="1:10" x14ac:dyDescent="0.3">
      <c r="A3" s="93" t="s">
        <v>187</v>
      </c>
    </row>
    <row r="5" spans="1:10" ht="15" thickBot="1" x14ac:dyDescent="0.35"/>
    <row r="6" spans="1:10" x14ac:dyDescent="0.3">
      <c r="B6" s="99"/>
      <c r="C6" s="99" t="s">
        <v>177</v>
      </c>
      <c r="D6" s="99"/>
    </row>
    <row r="7" spans="1:10" ht="15" thickBot="1" x14ac:dyDescent="0.35">
      <c r="B7" s="100" t="s">
        <v>65</v>
      </c>
      <c r="C7" s="100" t="s">
        <v>66</v>
      </c>
      <c r="D7" s="100" t="s">
        <v>171</v>
      </c>
    </row>
    <row r="8" spans="1:10" ht="15" thickBot="1" x14ac:dyDescent="0.35">
      <c r="B8" s="94" t="s">
        <v>76</v>
      </c>
      <c r="C8" s="94" t="s">
        <v>77</v>
      </c>
      <c r="D8" s="97">
        <v>4100</v>
      </c>
    </row>
    <row r="10" spans="1:10" ht="15" thickBot="1" x14ac:dyDescent="0.35"/>
    <row r="11" spans="1:10" x14ac:dyDescent="0.3">
      <c r="B11" s="99"/>
      <c r="C11" s="99" t="s">
        <v>178</v>
      </c>
      <c r="D11" s="99"/>
      <c r="F11" s="99" t="s">
        <v>179</v>
      </c>
      <c r="G11" s="99" t="s">
        <v>177</v>
      </c>
      <c r="I11" s="99" t="s">
        <v>182</v>
      </c>
      <c r="J11" s="99" t="s">
        <v>177</v>
      </c>
    </row>
    <row r="12" spans="1:10" ht="15" thickBot="1" x14ac:dyDescent="0.35">
      <c r="B12" s="100" t="s">
        <v>65</v>
      </c>
      <c r="C12" s="100" t="s">
        <v>66</v>
      </c>
      <c r="D12" s="100" t="s">
        <v>171</v>
      </c>
      <c r="F12" s="100" t="s">
        <v>180</v>
      </c>
      <c r="G12" s="100" t="s">
        <v>181</v>
      </c>
      <c r="I12" s="100" t="s">
        <v>180</v>
      </c>
      <c r="J12" s="100" t="s">
        <v>181</v>
      </c>
    </row>
    <row r="13" spans="1:10" x14ac:dyDescent="0.3">
      <c r="B13" s="96" t="s">
        <v>78</v>
      </c>
      <c r="C13" s="96" t="s">
        <v>79</v>
      </c>
      <c r="D13" s="98">
        <v>50</v>
      </c>
      <c r="F13" s="98">
        <v>50</v>
      </c>
      <c r="G13" s="98">
        <v>4100</v>
      </c>
      <c r="I13" s="98">
        <v>50</v>
      </c>
      <c r="J13" s="98">
        <v>4100</v>
      </c>
    </row>
    <row r="14" spans="1:10" x14ac:dyDescent="0.3">
      <c r="B14" s="96" t="s">
        <v>81</v>
      </c>
      <c r="C14" s="96" t="s">
        <v>82</v>
      </c>
      <c r="D14" s="98">
        <v>0</v>
      </c>
      <c r="F14" s="98">
        <v>0</v>
      </c>
      <c r="G14" s="98">
        <v>4100</v>
      </c>
      <c r="I14" s="98">
        <v>0</v>
      </c>
      <c r="J14" s="98">
        <v>4100</v>
      </c>
    </row>
    <row r="15" spans="1:10" x14ac:dyDescent="0.3">
      <c r="B15" s="96" t="s">
        <v>83</v>
      </c>
      <c r="C15" s="96" t="s">
        <v>84</v>
      </c>
      <c r="D15" s="98">
        <v>0</v>
      </c>
      <c r="F15" s="98">
        <v>0</v>
      </c>
      <c r="G15" s="98">
        <v>4100</v>
      </c>
      <c r="I15" s="98">
        <v>0</v>
      </c>
      <c r="J15" s="98">
        <v>4100</v>
      </c>
    </row>
    <row r="16" spans="1:10" x14ac:dyDescent="0.3">
      <c r="B16" s="96" t="s">
        <v>85</v>
      </c>
      <c r="C16" s="96" t="s">
        <v>86</v>
      </c>
      <c r="D16" s="98">
        <v>0</v>
      </c>
      <c r="F16" s="98">
        <v>0</v>
      </c>
      <c r="G16" s="98">
        <v>4100</v>
      </c>
      <c r="I16" s="98">
        <v>0</v>
      </c>
      <c r="J16" s="98">
        <v>4100</v>
      </c>
    </row>
    <row r="17" spans="2:10" x14ac:dyDescent="0.3">
      <c r="B17" s="96" t="s">
        <v>87</v>
      </c>
      <c r="C17" s="96" t="s">
        <v>88</v>
      </c>
      <c r="D17" s="98">
        <v>0</v>
      </c>
      <c r="F17" s="98">
        <v>0</v>
      </c>
      <c r="G17" s="98">
        <v>4100</v>
      </c>
      <c r="I17" s="98">
        <v>0</v>
      </c>
      <c r="J17" s="98">
        <v>4100</v>
      </c>
    </row>
    <row r="18" spans="2:10" x14ac:dyDescent="0.3">
      <c r="B18" s="96" t="s">
        <v>89</v>
      </c>
      <c r="C18" s="96" t="s">
        <v>90</v>
      </c>
      <c r="D18" s="98">
        <v>0</v>
      </c>
      <c r="F18" s="98">
        <v>0</v>
      </c>
      <c r="G18" s="98">
        <v>4100</v>
      </c>
      <c r="I18" s="98">
        <v>0</v>
      </c>
      <c r="J18" s="98">
        <v>4100</v>
      </c>
    </row>
    <row r="19" spans="2:10" x14ac:dyDescent="0.3">
      <c r="B19" s="96" t="s">
        <v>91</v>
      </c>
      <c r="C19" s="96" t="s">
        <v>92</v>
      </c>
      <c r="D19" s="98">
        <v>100</v>
      </c>
      <c r="F19" s="98">
        <v>100</v>
      </c>
      <c r="G19" s="98">
        <v>4100</v>
      </c>
      <c r="I19" s="98">
        <v>100</v>
      </c>
      <c r="J19" s="98">
        <v>4100</v>
      </c>
    </row>
    <row r="20" spans="2:10" x14ac:dyDescent="0.3">
      <c r="B20" s="96" t="s">
        <v>93</v>
      </c>
      <c r="C20" s="96" t="s">
        <v>94</v>
      </c>
      <c r="D20" s="98">
        <v>0</v>
      </c>
      <c r="F20" s="98">
        <v>0</v>
      </c>
      <c r="G20" s="98">
        <v>4100</v>
      </c>
      <c r="I20" s="98">
        <v>0</v>
      </c>
      <c r="J20" s="98">
        <v>4100</v>
      </c>
    </row>
    <row r="21" spans="2:10" x14ac:dyDescent="0.3">
      <c r="B21" s="96" t="s">
        <v>95</v>
      </c>
      <c r="C21" s="96" t="s">
        <v>96</v>
      </c>
      <c r="D21" s="98">
        <v>0</v>
      </c>
      <c r="F21" s="98">
        <v>0</v>
      </c>
      <c r="G21" s="98">
        <v>4100</v>
      </c>
      <c r="I21" s="98">
        <v>0</v>
      </c>
      <c r="J21" s="98">
        <v>4100</v>
      </c>
    </row>
    <row r="22" spans="2:10" x14ac:dyDescent="0.3">
      <c r="B22" s="96" t="s">
        <v>97</v>
      </c>
      <c r="C22" s="96" t="s">
        <v>98</v>
      </c>
      <c r="D22" s="98">
        <v>150</v>
      </c>
      <c r="F22" s="98">
        <v>150</v>
      </c>
      <c r="G22" s="98">
        <v>4100</v>
      </c>
      <c r="I22" s="98">
        <v>150</v>
      </c>
      <c r="J22" s="98">
        <v>4100</v>
      </c>
    </row>
    <row r="23" spans="2:10" x14ac:dyDescent="0.3">
      <c r="B23" s="96" t="s">
        <v>99</v>
      </c>
      <c r="C23" s="96" t="s">
        <v>100</v>
      </c>
      <c r="D23" s="98">
        <v>0</v>
      </c>
      <c r="F23" s="98">
        <v>0</v>
      </c>
      <c r="G23" s="98">
        <v>4100</v>
      </c>
      <c r="I23" s="98">
        <v>0</v>
      </c>
      <c r="J23" s="98">
        <v>4100</v>
      </c>
    </row>
    <row r="24" spans="2:10" x14ac:dyDescent="0.3">
      <c r="B24" s="96" t="s">
        <v>101</v>
      </c>
      <c r="C24" s="96" t="s">
        <v>102</v>
      </c>
      <c r="D24" s="98">
        <v>0</v>
      </c>
      <c r="F24" s="98">
        <v>0</v>
      </c>
      <c r="G24" s="98">
        <v>4100</v>
      </c>
      <c r="I24" s="98">
        <v>0</v>
      </c>
      <c r="J24" s="98">
        <v>4100</v>
      </c>
    </row>
    <row r="25" spans="2:10" x14ac:dyDescent="0.3">
      <c r="B25" s="96" t="s">
        <v>103</v>
      </c>
      <c r="C25" s="96" t="s">
        <v>104</v>
      </c>
      <c r="D25" s="98">
        <v>0</v>
      </c>
      <c r="F25" s="98">
        <v>0</v>
      </c>
      <c r="G25" s="98">
        <v>4100</v>
      </c>
      <c r="I25" s="98">
        <v>0</v>
      </c>
      <c r="J25" s="98">
        <v>4100</v>
      </c>
    </row>
    <row r="26" spans="2:10" x14ac:dyDescent="0.3">
      <c r="B26" s="96" t="s">
        <v>105</v>
      </c>
      <c r="C26" s="96" t="s">
        <v>106</v>
      </c>
      <c r="D26" s="98">
        <v>0</v>
      </c>
      <c r="F26" s="98">
        <v>0</v>
      </c>
      <c r="G26" s="98">
        <v>4100</v>
      </c>
      <c r="I26" s="98">
        <v>0</v>
      </c>
      <c r="J26" s="98">
        <v>4100</v>
      </c>
    </row>
    <row r="27" spans="2:10" x14ac:dyDescent="0.3">
      <c r="B27" s="96" t="s">
        <v>107</v>
      </c>
      <c r="C27" s="96" t="s">
        <v>108</v>
      </c>
      <c r="D27" s="98">
        <v>0</v>
      </c>
      <c r="F27" s="98">
        <v>0</v>
      </c>
      <c r="G27" s="98">
        <v>4100</v>
      </c>
      <c r="I27" s="98">
        <v>0</v>
      </c>
      <c r="J27" s="98">
        <v>4100</v>
      </c>
    </row>
    <row r="28" spans="2:10" x14ac:dyDescent="0.3">
      <c r="B28" s="96" t="s">
        <v>109</v>
      </c>
      <c r="C28" s="96" t="s">
        <v>110</v>
      </c>
      <c r="D28" s="98">
        <v>150</v>
      </c>
      <c r="F28" s="98">
        <v>150</v>
      </c>
      <c r="G28" s="98">
        <v>4100</v>
      </c>
      <c r="I28" s="98">
        <v>150</v>
      </c>
      <c r="J28" s="98">
        <v>4100</v>
      </c>
    </row>
    <row r="29" spans="2:10" x14ac:dyDescent="0.3">
      <c r="B29" s="96" t="s">
        <v>111</v>
      </c>
      <c r="C29" s="96" t="s">
        <v>112</v>
      </c>
      <c r="D29" s="98">
        <v>0</v>
      </c>
      <c r="F29" s="98">
        <v>0</v>
      </c>
      <c r="G29" s="98">
        <v>4100</v>
      </c>
      <c r="I29" s="98">
        <v>0</v>
      </c>
      <c r="J29" s="98">
        <v>4100</v>
      </c>
    </row>
    <row r="30" spans="2:10" x14ac:dyDescent="0.3">
      <c r="B30" s="96" t="s">
        <v>113</v>
      </c>
      <c r="C30" s="96" t="s">
        <v>114</v>
      </c>
      <c r="D30" s="98">
        <v>0</v>
      </c>
      <c r="F30" s="98">
        <v>0</v>
      </c>
      <c r="G30" s="98">
        <v>4100</v>
      </c>
      <c r="I30" s="98">
        <v>0</v>
      </c>
      <c r="J30" s="98">
        <v>4100</v>
      </c>
    </row>
    <row r="31" spans="2:10" x14ac:dyDescent="0.3">
      <c r="B31" s="96" t="s">
        <v>115</v>
      </c>
      <c r="C31" s="96" t="s">
        <v>116</v>
      </c>
      <c r="D31" s="98">
        <v>100</v>
      </c>
      <c r="F31" s="98">
        <v>100</v>
      </c>
      <c r="G31" s="98">
        <v>4100</v>
      </c>
      <c r="I31" s="98">
        <v>100</v>
      </c>
      <c r="J31" s="98">
        <v>4100</v>
      </c>
    </row>
    <row r="32" spans="2:10" ht="15" thickBot="1" x14ac:dyDescent="0.35">
      <c r="B32" s="94" t="s">
        <v>117</v>
      </c>
      <c r="C32" s="94" t="s">
        <v>118</v>
      </c>
      <c r="D32" s="97">
        <v>0</v>
      </c>
      <c r="F32" s="97">
        <v>0</v>
      </c>
      <c r="G32" s="97">
        <v>4100</v>
      </c>
      <c r="I32" s="97">
        <v>0</v>
      </c>
      <c r="J32" s="97">
        <v>4100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F98B-1BDD-4B17-9EEC-3A8A3F1783C5}">
  <dimension ref="A1:H20"/>
  <sheetViews>
    <sheetView showGridLines="0" workbookViewId="0">
      <selection activeCell="E17" sqref="E17:E20"/>
    </sheetView>
  </sheetViews>
  <sheetFormatPr defaultRowHeight="14.4" x14ac:dyDescent="0.3"/>
  <cols>
    <col min="1" max="1" width="2.33203125" customWidth="1"/>
    <col min="2" max="2" width="5.6640625" bestFit="1" customWidth="1"/>
    <col min="3" max="3" width="14.21875" bestFit="1" customWidth="1"/>
    <col min="4" max="5" width="12" bestFit="1" customWidth="1"/>
    <col min="6" max="6" width="10.109375" bestFit="1" customWidth="1"/>
    <col min="7" max="8" width="12" bestFit="1" customWidth="1"/>
  </cols>
  <sheetData>
    <row r="1" spans="1:8" x14ac:dyDescent="0.3">
      <c r="A1" s="93" t="s">
        <v>168</v>
      </c>
    </row>
    <row r="2" spans="1:8" x14ac:dyDescent="0.3">
      <c r="A2" s="93" t="s">
        <v>247</v>
      </c>
    </row>
    <row r="3" spans="1:8" x14ac:dyDescent="0.3">
      <c r="A3" s="93" t="s">
        <v>248</v>
      </c>
    </row>
    <row r="6" spans="1:8" ht="15" thickBot="1" x14ac:dyDescent="0.35">
      <c r="A6" t="s">
        <v>69</v>
      </c>
    </row>
    <row r="7" spans="1:8" x14ac:dyDescent="0.3">
      <c r="B7" s="99"/>
      <c r="C7" s="99"/>
      <c r="D7" s="99" t="s">
        <v>170</v>
      </c>
      <c r="E7" s="99" t="s">
        <v>172</v>
      </c>
      <c r="F7" s="99" t="s">
        <v>177</v>
      </c>
      <c r="G7" s="99" t="s">
        <v>190</v>
      </c>
      <c r="H7" s="99" t="s">
        <v>190</v>
      </c>
    </row>
    <row r="8" spans="1:8" ht="15" thickBot="1" x14ac:dyDescent="0.35">
      <c r="B8" s="100" t="s">
        <v>65</v>
      </c>
      <c r="C8" s="100" t="s">
        <v>66</v>
      </c>
      <c r="D8" s="100" t="s">
        <v>171</v>
      </c>
      <c r="E8" s="100" t="s">
        <v>188</v>
      </c>
      <c r="F8" s="100" t="s">
        <v>189</v>
      </c>
      <c r="G8" s="100" t="s">
        <v>191</v>
      </c>
      <c r="H8" s="100" t="s">
        <v>192</v>
      </c>
    </row>
    <row r="9" spans="1:8" x14ac:dyDescent="0.3">
      <c r="B9" s="96" t="s">
        <v>249</v>
      </c>
      <c r="C9" s="96" t="s">
        <v>250</v>
      </c>
      <c r="D9" s="96">
        <v>3.8834951456310676E-2</v>
      </c>
      <c r="E9" s="96">
        <v>0</v>
      </c>
      <c r="F9" s="96">
        <v>1</v>
      </c>
      <c r="G9" s="96">
        <v>0.42857142857142844</v>
      </c>
      <c r="H9" s="96">
        <v>0.90909090909090973</v>
      </c>
    </row>
    <row r="10" spans="1:8" x14ac:dyDescent="0.3">
      <c r="B10" s="96" t="s">
        <v>251</v>
      </c>
      <c r="C10" s="96" t="s">
        <v>252</v>
      </c>
      <c r="D10" s="96">
        <v>8.7378640776699018E-2</v>
      </c>
      <c r="E10" s="96">
        <v>0</v>
      </c>
      <c r="F10" s="96">
        <v>1</v>
      </c>
      <c r="G10" s="96">
        <v>9.9999999999999787</v>
      </c>
      <c r="H10" s="96">
        <v>0.29999999999999993</v>
      </c>
    </row>
    <row r="11" spans="1:8" x14ac:dyDescent="0.3">
      <c r="B11" s="96" t="s">
        <v>253</v>
      </c>
      <c r="C11" s="96" t="s">
        <v>254</v>
      </c>
      <c r="D11" s="96">
        <v>0</v>
      </c>
      <c r="E11" s="96">
        <v>0.48543689320388356</v>
      </c>
      <c r="F11" s="96">
        <v>1</v>
      </c>
      <c r="G11" s="96">
        <v>1E+30</v>
      </c>
      <c r="H11" s="96">
        <v>0.48543689320388356</v>
      </c>
    </row>
    <row r="12" spans="1:8" ht="15" thickBot="1" x14ac:dyDescent="0.35">
      <c r="B12" s="94" t="s">
        <v>255</v>
      </c>
      <c r="C12" s="94" t="s">
        <v>256</v>
      </c>
      <c r="D12" s="94">
        <v>0</v>
      </c>
      <c r="E12" s="94">
        <v>0.58252427184466005</v>
      </c>
      <c r="F12" s="94">
        <v>1</v>
      </c>
      <c r="G12" s="94">
        <v>1E+30</v>
      </c>
      <c r="H12" s="94">
        <v>0.58252427184466005</v>
      </c>
    </row>
    <row r="14" spans="1:8" ht="15" thickBot="1" x14ac:dyDescent="0.35">
      <c r="A14" t="s">
        <v>71</v>
      </c>
    </row>
    <row r="15" spans="1:8" x14ac:dyDescent="0.3">
      <c r="B15" s="99"/>
      <c r="C15" s="99"/>
      <c r="D15" s="99" t="s">
        <v>170</v>
      </c>
      <c r="E15" s="99" t="s">
        <v>193</v>
      </c>
      <c r="F15" s="99" t="s">
        <v>195</v>
      </c>
      <c r="G15" s="99" t="s">
        <v>190</v>
      </c>
      <c r="H15" s="99" t="s">
        <v>190</v>
      </c>
    </row>
    <row r="16" spans="1:8" ht="15" thickBot="1" x14ac:dyDescent="0.35">
      <c r="B16" s="100" t="s">
        <v>65</v>
      </c>
      <c r="C16" s="100" t="s">
        <v>66</v>
      </c>
      <c r="D16" s="100" t="s">
        <v>171</v>
      </c>
      <c r="E16" s="100" t="s">
        <v>194</v>
      </c>
      <c r="F16" s="100" t="s">
        <v>196</v>
      </c>
      <c r="G16" s="100" t="s">
        <v>191</v>
      </c>
      <c r="H16" s="100" t="s">
        <v>192</v>
      </c>
    </row>
    <row r="17" spans="2:8" x14ac:dyDescent="0.3">
      <c r="B17" s="96" t="s">
        <v>257</v>
      </c>
      <c r="C17" s="96" t="s">
        <v>258</v>
      </c>
      <c r="D17" s="96">
        <v>0.99999999999999989</v>
      </c>
      <c r="E17" s="96">
        <v>9.7087378640776725E-2</v>
      </c>
      <c r="F17" s="96">
        <v>1</v>
      </c>
      <c r="G17" s="96">
        <v>9.0000000000000284</v>
      </c>
      <c r="H17" s="96">
        <v>8.8235294117647051E-2</v>
      </c>
    </row>
    <row r="18" spans="2:8" x14ac:dyDescent="0.3">
      <c r="B18" s="96" t="s">
        <v>259</v>
      </c>
      <c r="C18" s="96" t="s">
        <v>260</v>
      </c>
      <c r="D18" s="96">
        <v>1.058252427184466</v>
      </c>
      <c r="E18" s="96">
        <v>0</v>
      </c>
      <c r="F18" s="96">
        <v>1</v>
      </c>
      <c r="G18" s="96">
        <v>5.8252427184466035E-2</v>
      </c>
      <c r="H18" s="96">
        <v>1E+30</v>
      </c>
    </row>
    <row r="19" spans="2:8" x14ac:dyDescent="0.3">
      <c r="B19" s="96" t="s">
        <v>261</v>
      </c>
      <c r="C19" s="96" t="s">
        <v>262</v>
      </c>
      <c r="D19" s="96">
        <v>0.99999999999999989</v>
      </c>
      <c r="E19" s="96">
        <v>2.9126213592233007E-2</v>
      </c>
      <c r="F19" s="96">
        <v>1</v>
      </c>
      <c r="G19" s="96">
        <v>0.57142857142857129</v>
      </c>
      <c r="H19" s="96">
        <v>0.14634146341463419</v>
      </c>
    </row>
    <row r="20" spans="2:8" ht="15" thickBot="1" x14ac:dyDescent="0.35">
      <c r="B20" s="94" t="s">
        <v>263</v>
      </c>
      <c r="C20" s="94" t="s">
        <v>264</v>
      </c>
      <c r="D20" s="94">
        <v>1.0970873786407767</v>
      </c>
      <c r="E20" s="94">
        <v>0</v>
      </c>
      <c r="F20" s="94">
        <v>1</v>
      </c>
      <c r="G20" s="94">
        <v>9.7087378640776656E-2</v>
      </c>
      <c r="H20" s="94">
        <v>1E+30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8485-BC60-400A-97E5-AB7B49170033}">
  <dimension ref="A1:H20"/>
  <sheetViews>
    <sheetView showGridLines="0" workbookViewId="0">
      <selection activeCell="E23" sqref="E23"/>
    </sheetView>
  </sheetViews>
  <sheetFormatPr defaultRowHeight="14.4" x14ac:dyDescent="0.3"/>
  <cols>
    <col min="1" max="1" width="2.33203125" customWidth="1"/>
    <col min="2" max="2" width="6" bestFit="1" customWidth="1"/>
    <col min="3" max="3" width="14.21875" bestFit="1" customWidth="1"/>
    <col min="4" max="5" width="12" bestFit="1" customWidth="1"/>
    <col min="6" max="6" width="10.109375" bestFit="1" customWidth="1"/>
    <col min="7" max="8" width="12" bestFit="1" customWidth="1"/>
  </cols>
  <sheetData>
    <row r="1" spans="1:8" x14ac:dyDescent="0.3">
      <c r="A1" s="93" t="s">
        <v>168</v>
      </c>
    </row>
    <row r="2" spans="1:8" x14ac:dyDescent="0.3">
      <c r="A2" s="93" t="s">
        <v>266</v>
      </c>
    </row>
    <row r="3" spans="1:8" x14ac:dyDescent="0.3">
      <c r="A3" s="93" t="s">
        <v>267</v>
      </c>
    </row>
    <row r="6" spans="1:8" ht="15" thickBot="1" x14ac:dyDescent="0.35">
      <c r="A6" t="s">
        <v>69</v>
      </c>
    </row>
    <row r="7" spans="1:8" x14ac:dyDescent="0.3">
      <c r="B7" s="99"/>
      <c r="C7" s="99"/>
      <c r="D7" s="99" t="s">
        <v>170</v>
      </c>
      <c r="E7" s="99" t="s">
        <v>172</v>
      </c>
      <c r="F7" s="99" t="s">
        <v>177</v>
      </c>
      <c r="G7" s="99" t="s">
        <v>190</v>
      </c>
      <c r="H7" s="99" t="s">
        <v>190</v>
      </c>
    </row>
    <row r="8" spans="1:8" ht="15" thickBot="1" x14ac:dyDescent="0.35">
      <c r="B8" s="100" t="s">
        <v>65</v>
      </c>
      <c r="C8" s="100" t="s">
        <v>66</v>
      </c>
      <c r="D8" s="100" t="s">
        <v>171</v>
      </c>
      <c r="E8" s="100" t="s">
        <v>188</v>
      </c>
      <c r="F8" s="100" t="s">
        <v>189</v>
      </c>
      <c r="G8" s="100" t="s">
        <v>191</v>
      </c>
      <c r="H8" s="100" t="s">
        <v>192</v>
      </c>
    </row>
    <row r="9" spans="1:8" x14ac:dyDescent="0.3">
      <c r="B9" s="96" t="s">
        <v>268</v>
      </c>
      <c r="C9" s="96" t="s">
        <v>250</v>
      </c>
      <c r="D9" s="96">
        <v>3.6666666666666667E-2</v>
      </c>
      <c r="E9" s="96">
        <v>0</v>
      </c>
      <c r="F9" s="96">
        <v>1</v>
      </c>
      <c r="G9" s="96">
        <v>0</v>
      </c>
      <c r="H9" s="96">
        <v>4.4408920985006262E-16</v>
      </c>
    </row>
    <row r="10" spans="1:8" x14ac:dyDescent="0.3">
      <c r="B10" s="96" t="s">
        <v>269</v>
      </c>
      <c r="C10" s="96" t="s">
        <v>252</v>
      </c>
      <c r="D10" s="96">
        <v>0</v>
      </c>
      <c r="E10" s="96">
        <v>0</v>
      </c>
      <c r="F10" s="96">
        <v>1</v>
      </c>
      <c r="G10" s="96">
        <v>1E+30</v>
      </c>
      <c r="H10" s="96">
        <v>0</v>
      </c>
    </row>
    <row r="11" spans="1:8" x14ac:dyDescent="0.3">
      <c r="B11" s="96" t="s">
        <v>270</v>
      </c>
      <c r="C11" s="96" t="s">
        <v>254</v>
      </c>
      <c r="D11" s="96">
        <v>0.05</v>
      </c>
      <c r="E11" s="96">
        <v>0</v>
      </c>
      <c r="F11" s="96">
        <v>1</v>
      </c>
      <c r="G11" s="96">
        <v>0</v>
      </c>
      <c r="H11" s="96">
        <v>1.0666666666666667</v>
      </c>
    </row>
    <row r="12" spans="1:8" ht="15" thickBot="1" x14ac:dyDescent="0.35">
      <c r="B12" s="94" t="s">
        <v>271</v>
      </c>
      <c r="C12" s="94" t="s">
        <v>256</v>
      </c>
      <c r="D12" s="94">
        <v>0</v>
      </c>
      <c r="E12" s="94">
        <v>2.2204460492503131E-16</v>
      </c>
      <c r="F12" s="94">
        <v>1</v>
      </c>
      <c r="G12" s="94">
        <v>1E+30</v>
      </c>
      <c r="H12" s="94">
        <v>2.2204460492503131E-16</v>
      </c>
    </row>
    <row r="14" spans="1:8" ht="15" thickBot="1" x14ac:dyDescent="0.35">
      <c r="A14" t="s">
        <v>71</v>
      </c>
    </row>
    <row r="15" spans="1:8" x14ac:dyDescent="0.3">
      <c r="B15" s="99"/>
      <c r="C15" s="99"/>
      <c r="D15" s="99" t="s">
        <v>170</v>
      </c>
      <c r="E15" s="99" t="s">
        <v>193</v>
      </c>
      <c r="F15" s="99" t="s">
        <v>195</v>
      </c>
      <c r="G15" s="99" t="s">
        <v>190</v>
      </c>
      <c r="H15" s="99" t="s">
        <v>190</v>
      </c>
    </row>
    <row r="16" spans="1:8" ht="15" thickBot="1" x14ac:dyDescent="0.35">
      <c r="B16" s="100" t="s">
        <v>65</v>
      </c>
      <c r="C16" s="100" t="s">
        <v>66</v>
      </c>
      <c r="D16" s="100" t="s">
        <v>171</v>
      </c>
      <c r="E16" s="100" t="s">
        <v>194</v>
      </c>
      <c r="F16" s="100" t="s">
        <v>196</v>
      </c>
      <c r="G16" s="100" t="s">
        <v>191</v>
      </c>
      <c r="H16" s="100" t="s">
        <v>192</v>
      </c>
    </row>
    <row r="17" spans="2:8" x14ac:dyDescent="0.3">
      <c r="B17" s="96" t="s">
        <v>272</v>
      </c>
      <c r="C17" s="96" t="s">
        <v>258</v>
      </c>
      <c r="D17" s="96">
        <v>1</v>
      </c>
      <c r="E17" s="96">
        <v>3.333333333333334E-2</v>
      </c>
      <c r="F17" s="96">
        <v>1</v>
      </c>
      <c r="G17" s="96">
        <v>1E+30</v>
      </c>
      <c r="H17" s="96">
        <v>0.65</v>
      </c>
    </row>
    <row r="18" spans="2:8" x14ac:dyDescent="0.3">
      <c r="B18" s="96" t="s">
        <v>273</v>
      </c>
      <c r="C18" s="96" t="s">
        <v>260</v>
      </c>
      <c r="D18" s="96">
        <v>1.4333333333333336</v>
      </c>
      <c r="E18" s="96">
        <v>0</v>
      </c>
      <c r="F18" s="96">
        <v>1</v>
      </c>
      <c r="G18" s="96">
        <v>0.43333333333333335</v>
      </c>
      <c r="H18" s="96">
        <v>1E+30</v>
      </c>
    </row>
    <row r="19" spans="2:8" x14ac:dyDescent="0.3">
      <c r="B19" s="96" t="s">
        <v>274</v>
      </c>
      <c r="C19" s="96" t="s">
        <v>262</v>
      </c>
      <c r="D19" s="96">
        <v>1.8666666666666667</v>
      </c>
      <c r="E19" s="96">
        <v>0</v>
      </c>
      <c r="F19" s="96">
        <v>1</v>
      </c>
      <c r="G19" s="96">
        <v>0.8666666666666667</v>
      </c>
      <c r="H19" s="96">
        <v>1E+30</v>
      </c>
    </row>
    <row r="20" spans="2:8" ht="15" thickBot="1" x14ac:dyDescent="0.35">
      <c r="B20" s="94" t="s">
        <v>275</v>
      </c>
      <c r="C20" s="94" t="s">
        <v>264</v>
      </c>
      <c r="D20" s="94">
        <v>1</v>
      </c>
      <c r="E20" s="94">
        <v>5.333333333333333E-2</v>
      </c>
      <c r="F20" s="94">
        <v>1</v>
      </c>
      <c r="G20" s="94">
        <v>1E+30</v>
      </c>
      <c r="H20" s="94">
        <v>0.56521739130434789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C8CA6-ED3F-4AD6-A7A1-92A35446C076}">
  <dimension ref="A2:Y160"/>
  <sheetViews>
    <sheetView tabSelected="1" zoomScaleNormal="100" workbookViewId="0">
      <selection activeCell="E114" sqref="E114"/>
    </sheetView>
  </sheetViews>
  <sheetFormatPr defaultRowHeight="14.4" x14ac:dyDescent="0.3"/>
  <cols>
    <col min="2" max="2" width="21.6640625" customWidth="1"/>
    <col min="3" max="3" width="11.6640625" customWidth="1"/>
    <col min="4" max="4" width="12.33203125" customWidth="1"/>
    <col min="5" max="5" width="13.109375" customWidth="1"/>
    <col min="6" max="7" width="11.6640625" customWidth="1"/>
    <col min="8" max="8" width="12.5546875" customWidth="1"/>
    <col min="9" max="9" width="12" customWidth="1"/>
    <col min="10" max="13" width="11.44140625" customWidth="1"/>
    <col min="14" max="14" width="19.77734375" customWidth="1"/>
    <col min="18" max="18" width="8.88671875" customWidth="1"/>
    <col min="23" max="23" width="16" customWidth="1"/>
    <col min="24" max="24" width="15.5546875" customWidth="1"/>
    <col min="25" max="25" width="20.109375" customWidth="1"/>
  </cols>
  <sheetData>
    <row r="2" spans="1:25" x14ac:dyDescent="0.3"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</row>
    <row r="3" spans="1:25" x14ac:dyDescent="0.3">
      <c r="B3" s="211" t="s">
        <v>0</v>
      </c>
      <c r="C3" s="212"/>
      <c r="D3" s="213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</row>
    <row r="4" spans="1:25" x14ac:dyDescent="0.3">
      <c r="B4" s="214">
        <v>351004</v>
      </c>
      <c r="C4" s="215"/>
      <c r="D4" s="216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</row>
    <row r="5" spans="1:25" x14ac:dyDescent="0.3">
      <c r="B5" s="217" t="s">
        <v>1</v>
      </c>
      <c r="C5" s="218"/>
      <c r="D5" s="21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</row>
    <row r="6" spans="1:25" x14ac:dyDescent="0.3"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</row>
    <row r="7" spans="1:25" x14ac:dyDescent="0.3">
      <c r="B7" s="208" t="s">
        <v>276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10"/>
      <c r="O7" s="239"/>
      <c r="P7" s="239"/>
      <c r="Q7" s="239"/>
      <c r="R7" s="239"/>
      <c r="S7" s="239"/>
      <c r="T7" s="239"/>
      <c r="U7" s="239"/>
      <c r="V7" s="239"/>
      <c r="W7" s="239"/>
      <c r="X7" s="239"/>
    </row>
    <row r="8" spans="1:25" x14ac:dyDescent="0.3">
      <c r="N8" s="239"/>
      <c r="O8" s="239"/>
      <c r="P8" s="239"/>
      <c r="Q8" s="239"/>
      <c r="R8" s="239"/>
      <c r="S8" s="239"/>
      <c r="T8" s="239"/>
      <c r="U8" s="239"/>
      <c r="V8" s="239"/>
      <c r="W8" s="239"/>
      <c r="X8" s="239"/>
    </row>
    <row r="9" spans="1:25" x14ac:dyDescent="0.3">
      <c r="A9" s="130"/>
      <c r="B9" s="252" t="s">
        <v>277</v>
      </c>
      <c r="C9" s="250" t="s">
        <v>278</v>
      </c>
      <c r="D9" s="242" t="s">
        <v>279</v>
      </c>
      <c r="E9" s="243"/>
      <c r="F9" s="243"/>
      <c r="G9" s="243"/>
      <c r="H9" s="243"/>
      <c r="I9" s="243"/>
      <c r="J9" s="243"/>
      <c r="K9" s="243"/>
      <c r="L9" s="243"/>
      <c r="M9" s="243"/>
      <c r="N9" s="248" t="s">
        <v>284</v>
      </c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130"/>
    </row>
    <row r="10" spans="1:25" x14ac:dyDescent="0.3">
      <c r="A10" s="130"/>
      <c r="B10" s="253"/>
      <c r="C10" s="251"/>
      <c r="D10" s="246">
        <v>1.2</v>
      </c>
      <c r="E10" s="246">
        <v>1.3</v>
      </c>
      <c r="F10" s="246">
        <v>1.4</v>
      </c>
      <c r="G10" s="246">
        <v>2.4</v>
      </c>
      <c r="H10" s="246">
        <v>2.5</v>
      </c>
      <c r="I10" s="246">
        <v>3.4</v>
      </c>
      <c r="J10" s="246">
        <v>3.6</v>
      </c>
      <c r="K10" s="247">
        <v>4.5</v>
      </c>
      <c r="L10" s="247">
        <v>4.5999999999999996</v>
      </c>
      <c r="M10" s="247">
        <v>5.6</v>
      </c>
      <c r="N10" s="248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130"/>
    </row>
    <row r="11" spans="1:25" x14ac:dyDescent="0.3">
      <c r="A11" s="130"/>
      <c r="B11" s="254">
        <v>22</v>
      </c>
      <c r="C11" s="103" t="s">
        <v>281</v>
      </c>
      <c r="D11" s="12">
        <v>10</v>
      </c>
      <c r="E11" s="12">
        <v>13</v>
      </c>
      <c r="F11" s="12">
        <v>24</v>
      </c>
      <c r="G11" s="12">
        <v>9</v>
      </c>
      <c r="H11" s="241">
        <v>11</v>
      </c>
      <c r="I11" s="12">
        <v>17</v>
      </c>
      <c r="J11" s="12">
        <v>10</v>
      </c>
      <c r="K11" s="206">
        <v>15</v>
      </c>
      <c r="L11" s="206">
        <v>15</v>
      </c>
      <c r="M11" s="206">
        <v>20</v>
      </c>
      <c r="N11" s="249">
        <v>56</v>
      </c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130"/>
    </row>
    <row r="12" spans="1:25" x14ac:dyDescent="0.3">
      <c r="A12" s="130"/>
      <c r="B12" s="255"/>
      <c r="C12" s="103" t="s">
        <v>282</v>
      </c>
      <c r="D12" s="12">
        <v>5</v>
      </c>
      <c r="E12" s="12">
        <v>9</v>
      </c>
      <c r="F12" s="12">
        <v>11</v>
      </c>
      <c r="G12" s="12">
        <v>6</v>
      </c>
      <c r="H12" s="12">
        <v>9</v>
      </c>
      <c r="I12" s="12">
        <v>12</v>
      </c>
      <c r="J12" s="12">
        <v>7</v>
      </c>
      <c r="K12" s="206">
        <v>13</v>
      </c>
      <c r="L12" s="206">
        <v>13</v>
      </c>
      <c r="M12" s="206">
        <v>15</v>
      </c>
      <c r="N12" s="24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130"/>
    </row>
    <row r="13" spans="1:25" x14ac:dyDescent="0.3">
      <c r="A13" s="130"/>
      <c r="B13" s="256"/>
      <c r="C13" s="103" t="s">
        <v>283</v>
      </c>
      <c r="D13" s="12">
        <v>0.08</v>
      </c>
      <c r="E13" s="12">
        <v>0.25</v>
      </c>
      <c r="F13" s="12">
        <v>0.1</v>
      </c>
      <c r="G13" s="12">
        <v>0.15</v>
      </c>
      <c r="H13" s="12">
        <v>0.3</v>
      </c>
      <c r="I13" s="12">
        <v>0.2</v>
      </c>
      <c r="J13" s="12">
        <v>0.08</v>
      </c>
      <c r="K13" s="206">
        <v>0.4</v>
      </c>
      <c r="L13" s="206">
        <v>0.2</v>
      </c>
      <c r="M13" s="206">
        <v>0.1</v>
      </c>
      <c r="N13" s="24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130"/>
    </row>
    <row r="14" spans="1:25" ht="15" thickBot="1" x14ac:dyDescent="0.35">
      <c r="A14" s="130"/>
      <c r="B14" s="203"/>
      <c r="C14" s="203"/>
      <c r="D14" s="203"/>
      <c r="E14" s="203"/>
      <c r="F14" s="203"/>
      <c r="G14" s="203"/>
      <c r="H14" s="203"/>
      <c r="I14" s="203"/>
      <c r="J14" s="133"/>
      <c r="K14" s="133"/>
      <c r="L14" s="133"/>
      <c r="M14" s="207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130"/>
    </row>
    <row r="15" spans="1:25" ht="15" thickBot="1" x14ac:dyDescent="0.35">
      <c r="A15" s="130"/>
      <c r="B15" s="272" t="s">
        <v>285</v>
      </c>
      <c r="C15" s="273">
        <v>1</v>
      </c>
      <c r="D15" s="274">
        <v>2</v>
      </c>
      <c r="E15" s="274">
        <v>3</v>
      </c>
      <c r="F15" s="274">
        <v>4</v>
      </c>
      <c r="G15" s="274">
        <v>5</v>
      </c>
      <c r="H15" s="275">
        <v>6</v>
      </c>
      <c r="I15" s="130"/>
      <c r="J15" s="133"/>
      <c r="K15" s="133"/>
      <c r="L15" s="133"/>
      <c r="M15" s="207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130"/>
    </row>
    <row r="16" spans="1:25" x14ac:dyDescent="0.3">
      <c r="A16" s="130"/>
      <c r="B16" s="257" t="s">
        <v>286</v>
      </c>
      <c r="C16" s="260">
        <v>0</v>
      </c>
      <c r="D16" s="261">
        <v>10</v>
      </c>
      <c r="E16" s="261">
        <v>13</v>
      </c>
      <c r="F16" s="261">
        <v>30</v>
      </c>
      <c r="G16" s="261">
        <v>45</v>
      </c>
      <c r="H16" s="262">
        <v>65</v>
      </c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</row>
    <row r="17" spans="1:25" x14ac:dyDescent="0.3">
      <c r="A17" s="130"/>
      <c r="B17" s="257"/>
      <c r="C17" s="263"/>
      <c r="D17" s="264"/>
      <c r="E17" s="264"/>
      <c r="F17" s="264"/>
      <c r="G17" s="264"/>
      <c r="H17" s="265"/>
      <c r="I17" s="130"/>
      <c r="J17" s="130"/>
      <c r="K17" s="130"/>
      <c r="L17" s="130"/>
      <c r="M17" s="130"/>
      <c r="N17" s="130"/>
      <c r="O17" s="130"/>
      <c r="P17" s="130"/>
      <c r="Q17" s="130"/>
      <c r="R17" s="133"/>
      <c r="S17" s="133"/>
      <c r="T17" s="133"/>
      <c r="U17" s="133"/>
      <c r="V17" s="130"/>
      <c r="W17" s="130"/>
      <c r="X17" s="130"/>
      <c r="Y17" s="130"/>
    </row>
    <row r="18" spans="1:25" x14ac:dyDescent="0.3">
      <c r="A18" s="130"/>
      <c r="B18" s="257" t="s">
        <v>287</v>
      </c>
      <c r="C18" s="266">
        <v>0</v>
      </c>
      <c r="D18" s="267">
        <v>21</v>
      </c>
      <c r="E18" s="267">
        <v>13</v>
      </c>
      <c r="F18" s="267">
        <v>30</v>
      </c>
      <c r="G18" s="267">
        <v>45</v>
      </c>
      <c r="H18" s="268">
        <v>65</v>
      </c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</row>
    <row r="19" spans="1:25" ht="15" thickBot="1" x14ac:dyDescent="0.35">
      <c r="A19" s="130"/>
      <c r="B19" s="258"/>
      <c r="C19" s="269"/>
      <c r="D19" s="270"/>
      <c r="E19" s="270"/>
      <c r="F19" s="270"/>
      <c r="G19" s="270"/>
      <c r="H19" s="271"/>
      <c r="I19" s="130"/>
      <c r="J19" s="130"/>
      <c r="K19" s="130"/>
      <c r="L19" s="130"/>
      <c r="M19" s="130"/>
      <c r="N19" s="130"/>
      <c r="O19" s="130"/>
      <c r="P19" s="238"/>
      <c r="Q19" s="238"/>
      <c r="R19" s="238"/>
      <c r="S19" s="238"/>
      <c r="T19" s="238"/>
      <c r="U19" s="238"/>
      <c r="V19" s="238"/>
      <c r="W19" s="238"/>
      <c r="X19" s="238"/>
      <c r="Y19" s="238"/>
    </row>
    <row r="20" spans="1:25" x14ac:dyDescent="0.3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</row>
    <row r="21" spans="1:25" ht="15" thickBot="1" x14ac:dyDescent="0.35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3"/>
      <c r="W21" s="133"/>
      <c r="X21" s="130"/>
      <c r="Y21" s="133"/>
    </row>
    <row r="22" spans="1:25" ht="17.399999999999999" thickBot="1" x14ac:dyDescent="0.35">
      <c r="A22" s="130"/>
      <c r="B22" s="286" t="s">
        <v>288</v>
      </c>
      <c r="C22" s="290" t="s">
        <v>307</v>
      </c>
      <c r="D22" s="283" t="s">
        <v>305</v>
      </c>
      <c r="E22" s="284" t="s">
        <v>306</v>
      </c>
      <c r="F22" s="284" t="s">
        <v>289</v>
      </c>
      <c r="G22" s="284" t="s">
        <v>290</v>
      </c>
      <c r="H22" s="284" t="s">
        <v>291</v>
      </c>
      <c r="I22" s="284" t="s">
        <v>292</v>
      </c>
      <c r="J22" s="284" t="s">
        <v>293</v>
      </c>
      <c r="K22" s="285" t="s">
        <v>294</v>
      </c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</row>
    <row r="23" spans="1:25" x14ac:dyDescent="0.3">
      <c r="A23" s="130"/>
      <c r="B23" s="287" t="s">
        <v>295</v>
      </c>
      <c r="C23" s="291">
        <v>10</v>
      </c>
      <c r="D23" s="280">
        <v>0</v>
      </c>
      <c r="E23" s="278">
        <f>D23+C23</f>
        <v>10</v>
      </c>
      <c r="F23" s="278">
        <v>21</v>
      </c>
      <c r="G23" s="278">
        <f>F23-C23</f>
        <v>11</v>
      </c>
      <c r="H23" s="278">
        <f>D18-C16-C23</f>
        <v>11</v>
      </c>
      <c r="I23" s="278">
        <f>D16-C18-C23</f>
        <v>0</v>
      </c>
      <c r="J23" s="278">
        <f>D18-C18-C23</f>
        <v>11</v>
      </c>
      <c r="K23" s="279">
        <f>D16-C16-C23</f>
        <v>0</v>
      </c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</row>
    <row r="24" spans="1:25" x14ac:dyDescent="0.3">
      <c r="A24" s="130"/>
      <c r="B24" s="288" t="s">
        <v>296</v>
      </c>
      <c r="C24" s="292">
        <v>13</v>
      </c>
      <c r="D24" s="281">
        <v>0</v>
      </c>
      <c r="E24" s="278">
        <f t="shared" ref="E24:E32" si="0">D24+C24</f>
        <v>13</v>
      </c>
      <c r="F24" s="276">
        <v>13</v>
      </c>
      <c r="G24" s="278">
        <f t="shared" ref="G24:G32" si="1">F24-C24</f>
        <v>0</v>
      </c>
      <c r="H24" s="278">
        <f>E18-C16-C24</f>
        <v>0</v>
      </c>
      <c r="I24" s="278">
        <f>E16-C18-C24</f>
        <v>0</v>
      </c>
      <c r="J24" s="278">
        <f>E18-C18-C24</f>
        <v>0</v>
      </c>
      <c r="K24" s="279">
        <f>E16-C16-C24</f>
        <v>0</v>
      </c>
      <c r="L24" s="130"/>
      <c r="M24" s="130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</row>
    <row r="25" spans="1:25" x14ac:dyDescent="0.3">
      <c r="A25" s="130"/>
      <c r="B25" s="288" t="s">
        <v>297</v>
      </c>
      <c r="C25" s="292">
        <v>24</v>
      </c>
      <c r="D25" s="281">
        <v>0</v>
      </c>
      <c r="E25" s="278">
        <f t="shared" si="0"/>
        <v>24</v>
      </c>
      <c r="F25" s="276">
        <v>30</v>
      </c>
      <c r="G25" s="278">
        <f t="shared" si="1"/>
        <v>6</v>
      </c>
      <c r="H25" s="278">
        <f>F18-C16-C25</f>
        <v>6</v>
      </c>
      <c r="I25" s="278">
        <f>F16-C18-C25</f>
        <v>6</v>
      </c>
      <c r="J25" s="278">
        <f>F18-C18-C25</f>
        <v>6</v>
      </c>
      <c r="K25" s="279">
        <f>F16-C16-C25</f>
        <v>6</v>
      </c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</row>
    <row r="26" spans="1:25" x14ac:dyDescent="0.3">
      <c r="A26" s="130"/>
      <c r="B26" s="288" t="s">
        <v>298</v>
      </c>
      <c r="C26" s="292">
        <v>9</v>
      </c>
      <c r="D26" s="281">
        <v>10</v>
      </c>
      <c r="E26" s="278">
        <f t="shared" si="0"/>
        <v>19</v>
      </c>
      <c r="F26" s="276">
        <v>30</v>
      </c>
      <c r="G26" s="278">
        <f t="shared" si="1"/>
        <v>21</v>
      </c>
      <c r="H26" s="278">
        <f>F18-D16-C26</f>
        <v>11</v>
      </c>
      <c r="I26" s="278">
        <f>F16-D18-C26</f>
        <v>0</v>
      </c>
      <c r="J26" s="278">
        <f>F18-D18-C26</f>
        <v>0</v>
      </c>
      <c r="K26" s="279">
        <f>F16-D16-C26</f>
        <v>11</v>
      </c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</row>
    <row r="27" spans="1:25" x14ac:dyDescent="0.3">
      <c r="A27" s="130"/>
      <c r="B27" s="288" t="s">
        <v>299</v>
      </c>
      <c r="C27" s="292">
        <v>11</v>
      </c>
      <c r="D27" s="281">
        <v>10</v>
      </c>
      <c r="E27" s="278">
        <f t="shared" si="0"/>
        <v>21</v>
      </c>
      <c r="F27" s="276">
        <v>45</v>
      </c>
      <c r="G27" s="278">
        <f t="shared" si="1"/>
        <v>34</v>
      </c>
      <c r="H27" s="278">
        <f>G18-D16-C27</f>
        <v>24</v>
      </c>
      <c r="I27" s="278">
        <f>G16-D18-C27</f>
        <v>13</v>
      </c>
      <c r="J27" s="278">
        <f>G18-D18-C27</f>
        <v>13</v>
      </c>
      <c r="K27" s="279">
        <f>G16-D16-C27</f>
        <v>24</v>
      </c>
      <c r="L27" s="130"/>
      <c r="M27" s="130"/>
      <c r="N27" s="130"/>
      <c r="O27" s="130"/>
      <c r="P27" s="133"/>
      <c r="Q27" s="130"/>
      <c r="R27" s="130"/>
      <c r="S27" s="130"/>
      <c r="T27" s="130"/>
      <c r="U27" s="130"/>
      <c r="V27" s="133"/>
      <c r="W27" s="130"/>
      <c r="X27" s="130"/>
      <c r="Y27" s="133"/>
    </row>
    <row r="28" spans="1:25" x14ac:dyDescent="0.3">
      <c r="A28" s="130"/>
      <c r="B28" s="288" t="s">
        <v>300</v>
      </c>
      <c r="C28" s="292">
        <v>17</v>
      </c>
      <c r="D28" s="281">
        <v>13</v>
      </c>
      <c r="E28" s="278">
        <f t="shared" si="0"/>
        <v>30</v>
      </c>
      <c r="F28" s="276">
        <v>30</v>
      </c>
      <c r="G28" s="278">
        <f t="shared" si="1"/>
        <v>13</v>
      </c>
      <c r="H28" s="278">
        <f>F18-E16-C28</f>
        <v>0</v>
      </c>
      <c r="I28" s="278">
        <f>F16-E18-C28</f>
        <v>0</v>
      </c>
      <c r="J28" s="278">
        <f>F18-E18-C28</f>
        <v>0</v>
      </c>
      <c r="K28" s="279">
        <f>F16-E16-C28</f>
        <v>0</v>
      </c>
      <c r="L28" s="130"/>
      <c r="M28" s="130"/>
      <c r="N28" s="130"/>
      <c r="O28" s="130"/>
      <c r="P28" s="133"/>
      <c r="Q28" s="130"/>
      <c r="R28" s="130"/>
      <c r="S28" s="130"/>
      <c r="T28" s="130"/>
      <c r="U28" s="130"/>
      <c r="V28" s="203"/>
      <c r="W28" s="130"/>
      <c r="X28" s="130"/>
      <c r="Y28" s="130"/>
    </row>
    <row r="29" spans="1:25" x14ac:dyDescent="0.3">
      <c r="A29" s="130"/>
      <c r="B29" s="288" t="s">
        <v>301</v>
      </c>
      <c r="C29" s="292">
        <v>10</v>
      </c>
      <c r="D29" s="281">
        <v>13</v>
      </c>
      <c r="E29" s="278">
        <f t="shared" si="0"/>
        <v>23</v>
      </c>
      <c r="F29" s="276">
        <v>65</v>
      </c>
      <c r="G29" s="278">
        <f t="shared" si="1"/>
        <v>55</v>
      </c>
      <c r="H29" s="278">
        <f>H18-E16-C29</f>
        <v>42</v>
      </c>
      <c r="I29" s="278">
        <f>H16-E18-C29</f>
        <v>42</v>
      </c>
      <c r="J29" s="278">
        <f>H18-E18-C29</f>
        <v>42</v>
      </c>
      <c r="K29" s="279">
        <f>H16-E16-C29</f>
        <v>42</v>
      </c>
      <c r="L29" s="130"/>
      <c r="M29" s="130"/>
      <c r="N29" s="130"/>
      <c r="O29" s="130"/>
      <c r="P29" s="133"/>
      <c r="Q29" s="130"/>
      <c r="R29" s="130"/>
      <c r="S29" s="130"/>
      <c r="T29" s="130"/>
      <c r="U29" s="130"/>
      <c r="V29" s="203"/>
      <c r="W29" s="130"/>
      <c r="X29" s="130"/>
      <c r="Y29" s="130"/>
    </row>
    <row r="30" spans="1:25" x14ac:dyDescent="0.3">
      <c r="A30" s="130"/>
      <c r="B30" s="288" t="s">
        <v>302</v>
      </c>
      <c r="C30" s="292">
        <v>15</v>
      </c>
      <c r="D30" s="281">
        <v>30</v>
      </c>
      <c r="E30" s="278">
        <f t="shared" si="0"/>
        <v>45</v>
      </c>
      <c r="F30" s="276">
        <v>45</v>
      </c>
      <c r="G30" s="278">
        <f t="shared" si="1"/>
        <v>30</v>
      </c>
      <c r="H30" s="278">
        <f>G18-F16-C30</f>
        <v>0</v>
      </c>
      <c r="I30" s="278">
        <f>G16-F18-C30</f>
        <v>0</v>
      </c>
      <c r="J30" s="278">
        <f>G18-F18-C30</f>
        <v>0</v>
      </c>
      <c r="K30" s="279">
        <f>G16-F16-C30</f>
        <v>0</v>
      </c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203"/>
      <c r="W30" s="130"/>
      <c r="X30" s="130"/>
      <c r="Y30" s="130"/>
    </row>
    <row r="31" spans="1:25" x14ac:dyDescent="0.3">
      <c r="A31" s="130"/>
      <c r="B31" s="288" t="s">
        <v>303</v>
      </c>
      <c r="C31" s="292">
        <v>15</v>
      </c>
      <c r="D31" s="281">
        <v>30</v>
      </c>
      <c r="E31" s="278">
        <f t="shared" si="0"/>
        <v>45</v>
      </c>
      <c r="F31" s="276">
        <v>65</v>
      </c>
      <c r="G31" s="278">
        <f t="shared" si="1"/>
        <v>50</v>
      </c>
      <c r="H31" s="278">
        <f>H18-F16-C31</f>
        <v>20</v>
      </c>
      <c r="I31" s="278">
        <f>H16-F18-C31</f>
        <v>20</v>
      </c>
      <c r="J31" s="278">
        <f>H18-F18-C31</f>
        <v>20</v>
      </c>
      <c r="K31" s="279">
        <f>H16-F16-C31</f>
        <v>20</v>
      </c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203"/>
      <c r="W31" s="130"/>
      <c r="X31" s="130"/>
      <c r="Y31" s="130"/>
    </row>
    <row r="32" spans="1:25" ht="15" thickBot="1" x14ac:dyDescent="0.35">
      <c r="A32" s="130"/>
      <c r="B32" s="289" t="s">
        <v>304</v>
      </c>
      <c r="C32" s="293">
        <v>20</v>
      </c>
      <c r="D32" s="282">
        <v>45</v>
      </c>
      <c r="E32" s="294">
        <f t="shared" si="0"/>
        <v>65</v>
      </c>
      <c r="F32" s="277">
        <v>65</v>
      </c>
      <c r="G32" s="294">
        <f>F32-C32</f>
        <v>45</v>
      </c>
      <c r="H32" s="294">
        <f>H18-G16-C32</f>
        <v>0</v>
      </c>
      <c r="I32" s="294">
        <f>H16-G18-C32</f>
        <v>0</v>
      </c>
      <c r="J32" s="294">
        <f>H18-G18-C32</f>
        <v>0</v>
      </c>
      <c r="K32" s="295">
        <f>H16-G16-C32</f>
        <v>0</v>
      </c>
      <c r="L32" s="130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</row>
    <row r="33" spans="1:25" x14ac:dyDescent="0.3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3"/>
      <c r="V33" s="130"/>
      <c r="W33" s="130"/>
      <c r="X33" s="130"/>
      <c r="Y33" s="130"/>
    </row>
    <row r="34" spans="1:25" x14ac:dyDescent="0.3">
      <c r="A34" s="130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</row>
    <row r="35" spans="1:25" x14ac:dyDescent="0.3">
      <c r="A35" s="130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</row>
    <row r="36" spans="1:25" x14ac:dyDescent="0.3">
      <c r="A36" s="130"/>
      <c r="B36" s="296" t="s">
        <v>2</v>
      </c>
      <c r="C36" s="297"/>
      <c r="D36" s="297"/>
      <c r="E36" s="297"/>
      <c r="F36" s="297"/>
      <c r="G36" s="297"/>
      <c r="H36" s="259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</row>
    <row r="37" spans="1:25" ht="15" thickBot="1" x14ac:dyDescent="0.35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</row>
    <row r="38" spans="1:25" ht="16.8" thickBot="1" x14ac:dyDescent="0.35">
      <c r="A38" s="130"/>
      <c r="B38" s="286" t="s">
        <v>288</v>
      </c>
      <c r="C38" s="284" t="s">
        <v>305</v>
      </c>
      <c r="D38" s="290" t="s">
        <v>307</v>
      </c>
      <c r="E38" s="300" t="s">
        <v>291</v>
      </c>
      <c r="F38" s="304" t="s">
        <v>308</v>
      </c>
      <c r="G38" s="305"/>
      <c r="H38" s="203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</row>
    <row r="39" spans="1:25" x14ac:dyDescent="0.3">
      <c r="A39" s="130"/>
      <c r="B39" s="298" t="s">
        <v>295</v>
      </c>
      <c r="C39" s="278">
        <v>0</v>
      </c>
      <c r="D39" s="291">
        <v>10</v>
      </c>
      <c r="E39" s="301">
        <v>11</v>
      </c>
      <c r="F39" s="306" t="str">
        <f>IF(E39=0,"Критический путь", "Есть резерв")</f>
        <v>Есть резерв</v>
      </c>
      <c r="G39" s="307"/>
      <c r="H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</row>
    <row r="40" spans="1:25" x14ac:dyDescent="0.3">
      <c r="A40" s="130"/>
      <c r="B40" s="288" t="s">
        <v>296</v>
      </c>
      <c r="C40" s="276">
        <v>0</v>
      </c>
      <c r="D40" s="292">
        <v>13</v>
      </c>
      <c r="E40" s="302">
        <v>0</v>
      </c>
      <c r="F40" s="306" t="str">
        <f t="shared" ref="F40:F48" si="2">IF(E40=0,"Критический путь", "Есть резерв")</f>
        <v>Критический путь</v>
      </c>
      <c r="G40" s="307"/>
      <c r="H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</row>
    <row r="41" spans="1:25" x14ac:dyDescent="0.3">
      <c r="A41" s="130"/>
      <c r="B41" s="288" t="s">
        <v>297</v>
      </c>
      <c r="C41" s="276">
        <v>0</v>
      </c>
      <c r="D41" s="292">
        <v>24</v>
      </c>
      <c r="E41" s="302">
        <v>6</v>
      </c>
      <c r="F41" s="306" t="str">
        <f t="shared" si="2"/>
        <v>Есть резерв</v>
      </c>
      <c r="G41" s="307"/>
      <c r="H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</row>
    <row r="42" spans="1:25" x14ac:dyDescent="0.3">
      <c r="A42" s="130"/>
      <c r="B42" s="288" t="s">
        <v>298</v>
      </c>
      <c r="C42" s="276">
        <v>10</v>
      </c>
      <c r="D42" s="292">
        <v>9</v>
      </c>
      <c r="E42" s="302">
        <v>11</v>
      </c>
      <c r="F42" s="306" t="str">
        <f t="shared" si="2"/>
        <v>Есть резерв</v>
      </c>
      <c r="G42" s="307"/>
      <c r="H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</row>
    <row r="43" spans="1:25" x14ac:dyDescent="0.3">
      <c r="A43" s="130"/>
      <c r="B43" s="288" t="s">
        <v>299</v>
      </c>
      <c r="C43" s="276">
        <v>10</v>
      </c>
      <c r="D43" s="292">
        <v>11</v>
      </c>
      <c r="E43" s="302">
        <v>24</v>
      </c>
      <c r="F43" s="306" t="str">
        <f t="shared" si="2"/>
        <v>Есть резерв</v>
      </c>
      <c r="G43" s="307"/>
      <c r="H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</row>
    <row r="44" spans="1:25" x14ac:dyDescent="0.3">
      <c r="A44" s="130"/>
      <c r="B44" s="288" t="s">
        <v>300</v>
      </c>
      <c r="C44" s="276">
        <v>13</v>
      </c>
      <c r="D44" s="292">
        <v>17</v>
      </c>
      <c r="E44" s="302">
        <v>0</v>
      </c>
      <c r="F44" s="306" t="str">
        <f t="shared" si="2"/>
        <v>Критический путь</v>
      </c>
      <c r="G44" s="307"/>
      <c r="H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</row>
    <row r="45" spans="1:25" x14ac:dyDescent="0.3">
      <c r="A45" s="130"/>
      <c r="B45" s="288" t="s">
        <v>301</v>
      </c>
      <c r="C45" s="276">
        <v>13</v>
      </c>
      <c r="D45" s="292">
        <v>10</v>
      </c>
      <c r="E45" s="302">
        <v>42</v>
      </c>
      <c r="F45" s="306" t="str">
        <f t="shared" si="2"/>
        <v>Есть резерв</v>
      </c>
      <c r="G45" s="307"/>
      <c r="H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</row>
    <row r="46" spans="1:25" x14ac:dyDescent="0.3">
      <c r="A46" s="130"/>
      <c r="B46" s="288" t="s">
        <v>302</v>
      </c>
      <c r="C46" s="276">
        <v>30</v>
      </c>
      <c r="D46" s="292">
        <v>15</v>
      </c>
      <c r="E46" s="302">
        <v>0</v>
      </c>
      <c r="F46" s="306" t="str">
        <f t="shared" si="2"/>
        <v>Критический путь</v>
      </c>
      <c r="G46" s="307"/>
      <c r="H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</row>
    <row r="47" spans="1:25" x14ac:dyDescent="0.3">
      <c r="A47" s="130"/>
      <c r="B47" s="288" t="s">
        <v>303</v>
      </c>
      <c r="C47" s="276">
        <v>30</v>
      </c>
      <c r="D47" s="292">
        <v>15</v>
      </c>
      <c r="E47" s="302">
        <v>20</v>
      </c>
      <c r="F47" s="306" t="str">
        <f t="shared" si="2"/>
        <v>Есть резерв</v>
      </c>
      <c r="G47" s="307"/>
      <c r="H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</row>
    <row r="48" spans="1:25" ht="15" thickBot="1" x14ac:dyDescent="0.35">
      <c r="A48" s="130"/>
      <c r="B48" s="289" t="s">
        <v>304</v>
      </c>
      <c r="C48" s="277">
        <v>45</v>
      </c>
      <c r="D48" s="293">
        <v>20</v>
      </c>
      <c r="E48" s="303">
        <v>0</v>
      </c>
      <c r="F48" s="308" t="str">
        <f t="shared" si="2"/>
        <v>Критический путь</v>
      </c>
      <c r="G48" s="309"/>
      <c r="H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</row>
    <row r="49" spans="1:25" x14ac:dyDescent="0.3">
      <c r="A49" s="130"/>
      <c r="B49" s="203"/>
      <c r="C49" s="203"/>
      <c r="D49" s="203"/>
      <c r="E49" s="203"/>
      <c r="F49" s="203"/>
      <c r="G49" s="203"/>
      <c r="H49" s="203"/>
      <c r="I49" s="203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</row>
    <row r="50" spans="1:25" x14ac:dyDescent="0.3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</row>
    <row r="51" spans="1:25" x14ac:dyDescent="0.3">
      <c r="A51" s="130"/>
      <c r="B51" s="203"/>
      <c r="C51" s="203"/>
      <c r="D51" s="203"/>
      <c r="E51" s="203"/>
      <c r="F51" s="203"/>
      <c r="G51" s="203"/>
      <c r="H51" s="203"/>
      <c r="I51" s="203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</row>
    <row r="52" spans="1:25" x14ac:dyDescent="0.3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</row>
    <row r="53" spans="1:25" x14ac:dyDescent="0.3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</row>
    <row r="54" spans="1:25" x14ac:dyDescent="0.3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</row>
    <row r="55" spans="1:25" x14ac:dyDescent="0.3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</row>
    <row r="56" spans="1:25" x14ac:dyDescent="0.3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</row>
    <row r="57" spans="1:25" x14ac:dyDescent="0.3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</row>
    <row r="58" spans="1:25" x14ac:dyDescent="0.3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</row>
    <row r="59" spans="1:25" x14ac:dyDescent="0.3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</row>
    <row r="60" spans="1:25" x14ac:dyDescent="0.3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</row>
    <row r="61" spans="1:25" x14ac:dyDescent="0.3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</row>
    <row r="62" spans="1:25" x14ac:dyDescent="0.3">
      <c r="A62" s="130"/>
      <c r="B62" s="203"/>
      <c r="C62" s="203"/>
      <c r="D62" s="203"/>
      <c r="E62" s="203"/>
      <c r="F62" s="203"/>
      <c r="G62" s="203"/>
      <c r="H62" s="203"/>
      <c r="I62" s="203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</row>
    <row r="63" spans="1:25" x14ac:dyDescent="0.3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</row>
    <row r="64" spans="1:25" x14ac:dyDescent="0.3">
      <c r="A64" s="130"/>
      <c r="B64" s="296" t="s">
        <v>197</v>
      </c>
      <c r="C64" s="297"/>
      <c r="D64" s="297"/>
      <c r="E64" s="297"/>
      <c r="F64" s="297"/>
      <c r="G64" s="297"/>
      <c r="H64" s="259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</row>
    <row r="65" spans="1:25" x14ac:dyDescent="0.3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</row>
    <row r="66" spans="1:25" x14ac:dyDescent="0.3">
      <c r="A66" s="130"/>
      <c r="B66" s="318" t="s">
        <v>309</v>
      </c>
      <c r="C66" s="203"/>
      <c r="D66" s="310" t="s">
        <v>310</v>
      </c>
      <c r="E66" s="310"/>
      <c r="F66" s="310"/>
      <c r="G66" s="310"/>
      <c r="H66" s="310"/>
      <c r="I66" s="310"/>
      <c r="J66" s="310"/>
      <c r="K66" s="31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</row>
    <row r="67" spans="1:25" ht="15" thickBot="1" x14ac:dyDescent="0.35">
      <c r="A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</row>
    <row r="68" spans="1:25" ht="15" thickBot="1" x14ac:dyDescent="0.35">
      <c r="A68" s="130"/>
      <c r="B68" s="324" t="s">
        <v>311</v>
      </c>
      <c r="C68" s="325"/>
      <c r="D68" s="326"/>
      <c r="E68" s="326"/>
      <c r="F68" s="326"/>
      <c r="G68" s="326"/>
      <c r="H68" s="327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</row>
    <row r="69" spans="1:25" ht="15" thickBot="1" x14ac:dyDescent="0.35">
      <c r="A69" s="130"/>
      <c r="C69" s="159"/>
      <c r="D69" s="159"/>
      <c r="E69" s="159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</row>
    <row r="70" spans="1:25" ht="15" thickBot="1" x14ac:dyDescent="0.35">
      <c r="A70" s="130"/>
      <c r="C70" s="232"/>
      <c r="D70" s="233"/>
      <c r="E70" s="234"/>
      <c r="G70" s="225"/>
      <c r="H70" s="227"/>
      <c r="I70" s="59"/>
      <c r="J70" s="59"/>
      <c r="K70" s="59"/>
      <c r="L70" s="59"/>
      <c r="M70" s="59"/>
      <c r="N70" s="59"/>
      <c r="O70" s="59"/>
      <c r="P70" s="59"/>
      <c r="Q70" s="130"/>
      <c r="R70" s="130"/>
      <c r="S70" s="130"/>
      <c r="T70" s="130"/>
      <c r="U70" s="130"/>
      <c r="V70" s="130"/>
      <c r="W70" s="130"/>
      <c r="X70" s="130"/>
      <c r="Y70" s="130"/>
    </row>
    <row r="71" spans="1:25" x14ac:dyDescent="0.3">
      <c r="A71" s="130"/>
      <c r="C71" s="319"/>
      <c r="D71" s="215"/>
      <c r="E71" s="32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</row>
    <row r="72" spans="1:25" x14ac:dyDescent="0.3">
      <c r="A72" s="130"/>
      <c r="C72" s="319"/>
      <c r="D72" s="215"/>
      <c r="E72" s="32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</row>
    <row r="73" spans="1:25" x14ac:dyDescent="0.3">
      <c r="A73" s="130"/>
      <c r="C73" s="319"/>
      <c r="D73" s="215"/>
      <c r="E73" s="32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</row>
    <row r="74" spans="1:25" x14ac:dyDescent="0.3">
      <c r="A74" s="130"/>
      <c r="C74" s="319"/>
      <c r="D74" s="215"/>
      <c r="E74" s="32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</row>
    <row r="75" spans="1:25" x14ac:dyDescent="0.3">
      <c r="A75" s="130"/>
      <c r="C75" s="319"/>
      <c r="D75" s="215"/>
      <c r="E75" s="32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</row>
    <row r="76" spans="1:25" x14ac:dyDescent="0.3">
      <c r="A76" s="130"/>
      <c r="C76" s="319"/>
      <c r="D76" s="215"/>
      <c r="E76" s="32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</row>
    <row r="77" spans="1:25" x14ac:dyDescent="0.3">
      <c r="A77" s="130"/>
      <c r="C77" s="319"/>
      <c r="D77" s="215"/>
      <c r="E77" s="32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</row>
    <row r="78" spans="1:25" x14ac:dyDescent="0.3">
      <c r="A78" s="130"/>
      <c r="C78" s="319"/>
      <c r="D78" s="215"/>
      <c r="E78" s="32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</row>
    <row r="79" spans="1:25" ht="15" thickBot="1" x14ac:dyDescent="0.35">
      <c r="A79" s="130"/>
      <c r="C79" s="321"/>
      <c r="D79" s="322"/>
      <c r="E79" s="323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</row>
    <row r="80" spans="1:25" x14ac:dyDescent="0.3">
      <c r="A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</row>
    <row r="81" spans="2:16" x14ac:dyDescent="0.3">
      <c r="B81" s="315" t="s">
        <v>312</v>
      </c>
      <c r="C81" s="316"/>
      <c r="D81" s="316"/>
      <c r="E81" s="316"/>
      <c r="F81" s="316"/>
      <c r="G81" s="317"/>
    </row>
    <row r="82" spans="2:16" ht="15" thickBot="1" x14ac:dyDescent="0.35"/>
    <row r="83" spans="2:16" x14ac:dyDescent="0.3">
      <c r="B83" s="232"/>
      <c r="C83" s="234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130"/>
      <c r="P83" s="130"/>
    </row>
    <row r="84" spans="2:16" x14ac:dyDescent="0.3">
      <c r="B84" s="319"/>
      <c r="C84" s="320"/>
      <c r="H84" s="311"/>
    </row>
    <row r="85" spans="2:16" x14ac:dyDescent="0.3">
      <c r="B85" s="319"/>
      <c r="C85" s="320"/>
      <c r="H85" s="311"/>
    </row>
    <row r="86" spans="2:16" x14ac:dyDescent="0.3">
      <c r="B86" s="319"/>
      <c r="C86" s="320"/>
      <c r="H86" s="311"/>
    </row>
    <row r="87" spans="2:16" x14ac:dyDescent="0.3">
      <c r="B87" s="319"/>
      <c r="C87" s="320"/>
      <c r="H87" s="311"/>
    </row>
    <row r="88" spans="2:16" x14ac:dyDescent="0.3">
      <c r="B88" s="319"/>
      <c r="C88" s="320"/>
      <c r="H88" s="311"/>
    </row>
    <row r="89" spans="2:16" x14ac:dyDescent="0.3">
      <c r="B89" s="319"/>
      <c r="C89" s="320"/>
      <c r="H89" s="311"/>
    </row>
    <row r="90" spans="2:16" x14ac:dyDescent="0.3">
      <c r="B90" s="319"/>
      <c r="C90" s="320"/>
      <c r="H90" s="311"/>
    </row>
    <row r="91" spans="2:16" x14ac:dyDescent="0.3">
      <c r="B91" s="319"/>
      <c r="C91" s="320"/>
      <c r="H91" s="311"/>
    </row>
    <row r="92" spans="2:16" ht="15" thickBot="1" x14ac:dyDescent="0.35">
      <c r="B92" s="321"/>
      <c r="C92" s="323"/>
      <c r="H92" s="311"/>
    </row>
    <row r="93" spans="2:16" x14ac:dyDescent="0.3">
      <c r="H93" s="311"/>
    </row>
    <row r="94" spans="2:16" x14ac:dyDescent="0.3">
      <c r="B94" s="312" t="s">
        <v>313</v>
      </c>
      <c r="C94" s="313"/>
      <c r="D94" s="313"/>
      <c r="E94" s="313"/>
      <c r="F94" s="314"/>
    </row>
    <row r="95" spans="2:16" ht="15" thickBot="1" x14ac:dyDescent="0.35"/>
    <row r="96" spans="2:16" x14ac:dyDescent="0.3">
      <c r="B96" s="328"/>
    </row>
    <row r="97" spans="2:13" x14ac:dyDescent="0.3">
      <c r="B97" s="329"/>
    </row>
    <row r="98" spans="2:13" x14ac:dyDescent="0.3">
      <c r="B98" s="329"/>
    </row>
    <row r="99" spans="2:13" x14ac:dyDescent="0.3">
      <c r="B99" s="329"/>
    </row>
    <row r="100" spans="2:13" x14ac:dyDescent="0.3">
      <c r="B100" s="329"/>
    </row>
    <row r="101" spans="2:13" x14ac:dyDescent="0.3">
      <c r="B101" s="329"/>
    </row>
    <row r="102" spans="2:13" x14ac:dyDescent="0.3">
      <c r="B102" s="329"/>
    </row>
    <row r="103" spans="2:13" x14ac:dyDescent="0.3">
      <c r="B103" s="329"/>
    </row>
    <row r="104" spans="2:13" x14ac:dyDescent="0.3">
      <c r="B104" s="329"/>
    </row>
    <row r="105" spans="2:13" x14ac:dyDescent="0.3">
      <c r="B105" s="329"/>
    </row>
    <row r="106" spans="2:13" x14ac:dyDescent="0.3">
      <c r="B106" s="329"/>
    </row>
    <row r="107" spans="2:13" x14ac:dyDescent="0.3">
      <c r="B107" s="329"/>
    </row>
    <row r="108" spans="2:13" x14ac:dyDescent="0.3">
      <c r="B108" s="329"/>
    </row>
    <row r="109" spans="2:13" ht="15" thickBot="1" x14ac:dyDescent="0.35">
      <c r="B109" s="330"/>
    </row>
    <row r="110" spans="2:13" ht="15" thickBot="1" x14ac:dyDescent="0.35"/>
    <row r="111" spans="2:13" ht="15" thickBot="1" x14ac:dyDescent="0.35">
      <c r="B111" s="334" t="s">
        <v>314</v>
      </c>
      <c r="C111" s="335"/>
      <c r="D111" s="335"/>
      <c r="E111" s="335"/>
      <c r="F111" s="335"/>
      <c r="G111" s="335"/>
      <c r="H111" s="335"/>
      <c r="I111" s="335"/>
      <c r="J111" s="335"/>
      <c r="K111" s="335"/>
      <c r="L111" s="335"/>
      <c r="M111" s="336"/>
    </row>
    <row r="113" spans="2:13" x14ac:dyDescent="0.3">
      <c r="B113" s="331" t="s">
        <v>288</v>
      </c>
      <c r="E113" s="240" t="s">
        <v>315</v>
      </c>
      <c r="F113" s="240" t="s">
        <v>316</v>
      </c>
      <c r="G113" s="240" t="s">
        <v>317</v>
      </c>
      <c r="H113" s="343" t="s">
        <v>281</v>
      </c>
      <c r="J113" s="338" t="s">
        <v>282</v>
      </c>
      <c r="K113" s="337" t="s">
        <v>319</v>
      </c>
      <c r="L113" s="340" t="s">
        <v>283</v>
      </c>
      <c r="M113" s="343" t="s">
        <v>320</v>
      </c>
    </row>
    <row r="114" spans="2:13" x14ac:dyDescent="0.3">
      <c r="B114" s="331" t="s">
        <v>295</v>
      </c>
      <c r="E114" s="240">
        <v>0</v>
      </c>
      <c r="F114" s="240">
        <v>10</v>
      </c>
      <c r="G114" s="240">
        <v>0</v>
      </c>
      <c r="H114" s="12">
        <f>F114-E114</f>
        <v>10</v>
      </c>
      <c r="I114" s="1" t="s">
        <v>318</v>
      </c>
      <c r="J114" s="339">
        <v>5</v>
      </c>
      <c r="K114" s="291">
        <v>10</v>
      </c>
      <c r="L114" s="341">
        <v>0.08</v>
      </c>
      <c r="M114" s="12">
        <f>K114-L114*G114</f>
        <v>10</v>
      </c>
    </row>
    <row r="115" spans="2:13" x14ac:dyDescent="0.3">
      <c r="B115" s="331" t="s">
        <v>296</v>
      </c>
      <c r="E115" s="240">
        <v>0</v>
      </c>
      <c r="F115" s="240">
        <v>9</v>
      </c>
      <c r="G115" s="240">
        <v>16.000000000000007</v>
      </c>
      <c r="H115" s="12">
        <f t="shared" ref="H115:H123" si="3">F115-E115</f>
        <v>9</v>
      </c>
      <c r="I115" s="1" t="s">
        <v>318</v>
      </c>
      <c r="J115" s="339">
        <v>9</v>
      </c>
      <c r="K115" s="292">
        <v>13</v>
      </c>
      <c r="L115" s="341">
        <v>0.25</v>
      </c>
      <c r="M115" s="12">
        <f>K115-L115*G115</f>
        <v>8.9999999999999982</v>
      </c>
    </row>
    <row r="116" spans="2:13" x14ac:dyDescent="0.3">
      <c r="B116" s="331" t="s">
        <v>297</v>
      </c>
      <c r="E116" s="240">
        <v>0</v>
      </c>
      <c r="F116" s="240">
        <v>24.000000016540795</v>
      </c>
      <c r="G116" s="240">
        <v>0</v>
      </c>
      <c r="H116" s="12">
        <f>TRUNC(F116-E116)</f>
        <v>24</v>
      </c>
      <c r="I116" s="1" t="s">
        <v>318</v>
      </c>
      <c r="J116" s="339">
        <v>11</v>
      </c>
      <c r="K116" s="292">
        <v>24</v>
      </c>
      <c r="L116" s="341">
        <v>0.1</v>
      </c>
      <c r="M116" s="12">
        <f t="shared" ref="M116:M124" si="4">K116-L116*G116</f>
        <v>24</v>
      </c>
    </row>
    <row r="117" spans="2:13" x14ac:dyDescent="0.3">
      <c r="B117" s="331" t="s">
        <v>298</v>
      </c>
      <c r="E117" s="332">
        <v>10.054569283596095</v>
      </c>
      <c r="F117" s="332">
        <v>19.054569283596095</v>
      </c>
      <c r="G117" s="240">
        <v>0</v>
      </c>
      <c r="H117" s="12">
        <f t="shared" ref="H117:H123" si="5">TRUNC(F117-E117)</f>
        <v>9</v>
      </c>
      <c r="I117" s="1" t="s">
        <v>318</v>
      </c>
      <c r="J117" s="339">
        <v>6</v>
      </c>
      <c r="K117" s="292">
        <v>9</v>
      </c>
      <c r="L117" s="341">
        <v>0.15</v>
      </c>
      <c r="M117" s="12">
        <f t="shared" si="4"/>
        <v>9</v>
      </c>
    </row>
    <row r="118" spans="2:13" x14ac:dyDescent="0.3">
      <c r="B118" s="331" t="s">
        <v>299</v>
      </c>
      <c r="E118" s="332">
        <v>16.500000000000551</v>
      </c>
      <c r="F118" s="332">
        <v>27.500000000000551</v>
      </c>
      <c r="G118" s="240">
        <v>0</v>
      </c>
      <c r="H118" s="12">
        <f t="shared" si="5"/>
        <v>11</v>
      </c>
      <c r="I118" s="1" t="s">
        <v>318</v>
      </c>
      <c r="J118" s="339">
        <v>9</v>
      </c>
      <c r="K118" s="292">
        <v>11</v>
      </c>
      <c r="L118" s="341">
        <v>0.3</v>
      </c>
      <c r="M118" s="12">
        <f t="shared" si="4"/>
        <v>11</v>
      </c>
    </row>
    <row r="119" spans="2:13" x14ac:dyDescent="0.3">
      <c r="B119" s="331" t="s">
        <v>300</v>
      </c>
      <c r="E119" s="240">
        <v>9</v>
      </c>
      <c r="F119" s="240">
        <v>24.000000016540795</v>
      </c>
      <c r="G119" s="240">
        <v>10</v>
      </c>
      <c r="H119" s="12">
        <f t="shared" si="5"/>
        <v>15</v>
      </c>
      <c r="I119" s="1" t="s">
        <v>318</v>
      </c>
      <c r="J119" s="339">
        <v>12</v>
      </c>
      <c r="K119" s="292">
        <v>17</v>
      </c>
      <c r="L119" s="341">
        <v>0.2</v>
      </c>
      <c r="M119" s="12">
        <f t="shared" si="4"/>
        <v>15</v>
      </c>
    </row>
    <row r="120" spans="2:13" x14ac:dyDescent="0.3">
      <c r="B120" s="331" t="s">
        <v>301</v>
      </c>
      <c r="C120" s="12">
        <v>56</v>
      </c>
      <c r="D120" s="1" t="s">
        <v>318</v>
      </c>
      <c r="E120" s="240">
        <v>9</v>
      </c>
      <c r="F120" s="240">
        <v>19.000000000272859</v>
      </c>
      <c r="G120" s="240">
        <v>0</v>
      </c>
      <c r="H120" s="12">
        <f t="shared" si="5"/>
        <v>10</v>
      </c>
      <c r="I120" s="1" t="s">
        <v>318</v>
      </c>
      <c r="J120" s="339">
        <v>7</v>
      </c>
      <c r="K120" s="292">
        <v>10</v>
      </c>
      <c r="L120" s="341">
        <v>0.08</v>
      </c>
      <c r="M120" s="12">
        <f t="shared" si="4"/>
        <v>10</v>
      </c>
    </row>
    <row r="121" spans="2:13" x14ac:dyDescent="0.3">
      <c r="B121" s="331" t="s">
        <v>302</v>
      </c>
      <c r="C121" s="1"/>
      <c r="D121" s="1"/>
      <c r="E121" s="240">
        <v>24</v>
      </c>
      <c r="F121" s="240">
        <v>37.000000016540788</v>
      </c>
      <c r="G121" s="332">
        <v>5</v>
      </c>
      <c r="H121" s="12">
        <f t="shared" si="5"/>
        <v>13</v>
      </c>
      <c r="I121" s="1" t="s">
        <v>318</v>
      </c>
      <c r="J121" s="339">
        <v>13</v>
      </c>
      <c r="K121" s="292">
        <v>15</v>
      </c>
      <c r="L121" s="342">
        <v>0.4</v>
      </c>
      <c r="M121" s="12">
        <f t="shared" si="4"/>
        <v>13</v>
      </c>
    </row>
    <row r="122" spans="2:13" x14ac:dyDescent="0.3">
      <c r="B122" s="331" t="s">
        <v>303</v>
      </c>
      <c r="C122" s="12">
        <v>56</v>
      </c>
      <c r="D122" s="1" t="s">
        <v>318</v>
      </c>
      <c r="E122" s="240">
        <v>24</v>
      </c>
      <c r="F122" s="240">
        <v>39.000000014665829</v>
      </c>
      <c r="G122" s="240">
        <v>0</v>
      </c>
      <c r="H122" s="12">
        <f t="shared" si="5"/>
        <v>15</v>
      </c>
      <c r="I122" s="1" t="s">
        <v>318</v>
      </c>
      <c r="J122" s="339">
        <v>13</v>
      </c>
      <c r="K122" s="292">
        <v>15</v>
      </c>
      <c r="L122" s="342">
        <v>0.2</v>
      </c>
      <c r="M122" s="12">
        <f t="shared" si="4"/>
        <v>15</v>
      </c>
    </row>
    <row r="123" spans="2:13" x14ac:dyDescent="0.3">
      <c r="B123" s="331" t="s">
        <v>304</v>
      </c>
      <c r="C123" s="12">
        <v>56</v>
      </c>
      <c r="D123" s="1" t="s">
        <v>318</v>
      </c>
      <c r="E123" s="240">
        <v>37</v>
      </c>
      <c r="F123" s="240">
        <v>56</v>
      </c>
      <c r="G123" s="240">
        <v>10</v>
      </c>
      <c r="H123" s="12">
        <f t="shared" si="5"/>
        <v>19</v>
      </c>
      <c r="I123" s="1" t="s">
        <v>318</v>
      </c>
      <c r="J123" s="339">
        <v>15</v>
      </c>
      <c r="K123" s="299">
        <v>20</v>
      </c>
      <c r="L123" s="342">
        <v>0.1</v>
      </c>
      <c r="M123" s="12">
        <f t="shared" si="4"/>
        <v>19</v>
      </c>
    </row>
    <row r="125" spans="2:13" ht="15" thickBot="1" x14ac:dyDescent="0.35"/>
    <row r="126" spans="2:13" ht="15" thickBot="1" x14ac:dyDescent="0.35">
      <c r="H126" s="334" t="s">
        <v>309</v>
      </c>
      <c r="I126" s="335"/>
      <c r="J126" s="336"/>
      <c r="L126" s="333">
        <f>SUM(G114:G123)</f>
        <v>41.000000000000007</v>
      </c>
    </row>
    <row r="129" spans="2:11" x14ac:dyDescent="0.3">
      <c r="B129" s="296" t="s">
        <v>265</v>
      </c>
      <c r="C129" s="297"/>
      <c r="D129" s="297"/>
      <c r="E129" s="297"/>
      <c r="F129" s="297"/>
      <c r="G129" s="297"/>
      <c r="H129" s="259"/>
    </row>
    <row r="130" spans="2:11" ht="15" thickBot="1" x14ac:dyDescent="0.35"/>
    <row r="131" spans="2:11" ht="15" thickBot="1" x14ac:dyDescent="0.35">
      <c r="B131" s="272" t="s">
        <v>285</v>
      </c>
      <c r="C131" s="273">
        <v>1</v>
      </c>
      <c r="D131" s="274">
        <v>2</v>
      </c>
      <c r="E131" s="274">
        <v>3</v>
      </c>
      <c r="F131" s="274">
        <v>4</v>
      </c>
      <c r="G131" s="274">
        <v>5</v>
      </c>
      <c r="H131" s="275">
        <v>6</v>
      </c>
      <c r="I131" s="130"/>
      <c r="J131" s="133"/>
      <c r="K131" s="133"/>
    </row>
    <row r="132" spans="2:11" x14ac:dyDescent="0.3">
      <c r="B132" s="257" t="s">
        <v>286</v>
      </c>
      <c r="C132" s="260">
        <v>0</v>
      </c>
      <c r="D132" s="261">
        <v>10</v>
      </c>
      <c r="E132" s="261">
        <v>9</v>
      </c>
      <c r="F132" s="261">
        <v>24</v>
      </c>
      <c r="G132" s="261">
        <v>37</v>
      </c>
      <c r="H132" s="262">
        <v>56</v>
      </c>
      <c r="I132" s="130"/>
      <c r="J132" s="130"/>
      <c r="K132" s="130"/>
    </row>
    <row r="133" spans="2:11" x14ac:dyDescent="0.3">
      <c r="B133" s="257"/>
      <c r="C133" s="263"/>
      <c r="D133" s="264"/>
      <c r="E133" s="264"/>
      <c r="F133" s="264"/>
      <c r="G133" s="264"/>
      <c r="H133" s="265"/>
      <c r="I133" s="130"/>
      <c r="J133" s="130"/>
      <c r="K133" s="130"/>
    </row>
    <row r="134" spans="2:11" x14ac:dyDescent="0.3">
      <c r="B134" s="257" t="s">
        <v>287</v>
      </c>
      <c r="C134" s="266">
        <v>0</v>
      </c>
      <c r="D134" s="267">
        <v>14</v>
      </c>
      <c r="E134" s="267">
        <v>9</v>
      </c>
      <c r="F134" s="267">
        <v>24</v>
      </c>
      <c r="G134" s="267">
        <v>37</v>
      </c>
      <c r="H134" s="268">
        <v>56</v>
      </c>
      <c r="I134" s="130"/>
      <c r="J134" s="130"/>
      <c r="K134" s="130"/>
    </row>
    <row r="135" spans="2:11" ht="15" thickBot="1" x14ac:dyDescent="0.35">
      <c r="B135" s="258"/>
      <c r="C135" s="269"/>
      <c r="D135" s="270"/>
      <c r="E135" s="270"/>
      <c r="F135" s="270"/>
      <c r="G135" s="270"/>
      <c r="H135" s="271"/>
      <c r="I135" s="130"/>
      <c r="J135" s="130"/>
      <c r="K135" s="130"/>
    </row>
    <row r="136" spans="2:11" x14ac:dyDescent="0.3"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</row>
    <row r="137" spans="2:11" ht="15" thickBot="1" x14ac:dyDescent="0.35"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</row>
    <row r="138" spans="2:11" ht="17.399999999999999" thickBot="1" x14ac:dyDescent="0.35">
      <c r="B138" s="286" t="s">
        <v>288</v>
      </c>
      <c r="C138" s="290" t="s">
        <v>307</v>
      </c>
      <c r="D138" s="283" t="s">
        <v>305</v>
      </c>
      <c r="E138" s="284" t="s">
        <v>306</v>
      </c>
      <c r="F138" s="284" t="s">
        <v>289</v>
      </c>
      <c r="G138" s="284" t="s">
        <v>290</v>
      </c>
      <c r="H138" s="284" t="s">
        <v>291</v>
      </c>
      <c r="I138" s="284" t="s">
        <v>292</v>
      </c>
      <c r="J138" s="284" t="s">
        <v>293</v>
      </c>
      <c r="K138" s="285" t="s">
        <v>294</v>
      </c>
    </row>
    <row r="139" spans="2:11" x14ac:dyDescent="0.3">
      <c r="B139" s="287" t="s">
        <v>295</v>
      </c>
      <c r="C139" s="291">
        <v>10</v>
      </c>
      <c r="D139" s="280">
        <v>0</v>
      </c>
      <c r="E139" s="278">
        <f>D139+C139</f>
        <v>10</v>
      </c>
      <c r="F139" s="278">
        <v>14</v>
      </c>
      <c r="G139" s="278">
        <f>F139-C139</f>
        <v>4</v>
      </c>
      <c r="H139" s="278">
        <f>D134-C132-C139</f>
        <v>4</v>
      </c>
      <c r="I139" s="278">
        <f>D132-C134-C139</f>
        <v>0</v>
      </c>
      <c r="J139" s="278">
        <f>D134-C134-C139</f>
        <v>4</v>
      </c>
      <c r="K139" s="279">
        <f>D132-C132-C139</f>
        <v>0</v>
      </c>
    </row>
    <row r="140" spans="2:11" x14ac:dyDescent="0.3">
      <c r="B140" s="288" t="s">
        <v>296</v>
      </c>
      <c r="C140" s="292">
        <v>8.9999999999999982</v>
      </c>
      <c r="D140" s="281">
        <v>0</v>
      </c>
      <c r="E140" s="278">
        <f t="shared" ref="E140:E148" si="6">D140+C140</f>
        <v>8.9999999999999982</v>
      </c>
      <c r="F140" s="276">
        <v>9</v>
      </c>
      <c r="G140" s="278">
        <f t="shared" ref="G140:G147" si="7">F140-C140</f>
        <v>0</v>
      </c>
      <c r="H140" s="278">
        <f>E134-C132-C140</f>
        <v>0</v>
      </c>
      <c r="I140" s="278">
        <f>E132-C134-C140</f>
        <v>0</v>
      </c>
      <c r="J140" s="278">
        <f>E134-C134-C140</f>
        <v>0</v>
      </c>
      <c r="K140" s="279">
        <f>E132-C132-C140</f>
        <v>0</v>
      </c>
    </row>
    <row r="141" spans="2:11" x14ac:dyDescent="0.3">
      <c r="B141" s="288" t="s">
        <v>297</v>
      </c>
      <c r="C141" s="292">
        <v>24</v>
      </c>
      <c r="D141" s="281">
        <v>0</v>
      </c>
      <c r="E141" s="278">
        <f t="shared" si="6"/>
        <v>24</v>
      </c>
      <c r="F141" s="276">
        <v>24</v>
      </c>
      <c r="G141" s="278">
        <f t="shared" si="7"/>
        <v>0</v>
      </c>
      <c r="H141" s="278">
        <f>F134-C132-C141</f>
        <v>0</v>
      </c>
      <c r="I141" s="278">
        <f>F132-C134-C141</f>
        <v>0</v>
      </c>
      <c r="J141" s="278">
        <f>F134-C134-C141</f>
        <v>0</v>
      </c>
      <c r="K141" s="279">
        <f>F132-C132-C141</f>
        <v>0</v>
      </c>
    </row>
    <row r="142" spans="2:11" x14ac:dyDescent="0.3">
      <c r="B142" s="288" t="s">
        <v>298</v>
      </c>
      <c r="C142" s="292">
        <v>9</v>
      </c>
      <c r="D142" s="281">
        <v>10</v>
      </c>
      <c r="E142" s="278">
        <f t="shared" si="6"/>
        <v>19</v>
      </c>
      <c r="F142" s="276">
        <v>24</v>
      </c>
      <c r="G142" s="278">
        <f t="shared" si="7"/>
        <v>15</v>
      </c>
      <c r="H142" s="278">
        <f>F134-D132-C142</f>
        <v>5</v>
      </c>
      <c r="I142" s="278">
        <f>F132-D134-C142</f>
        <v>1</v>
      </c>
      <c r="J142" s="278">
        <f>F134-D134-C142</f>
        <v>1</v>
      </c>
      <c r="K142" s="279">
        <f>F132-D132-C142</f>
        <v>5</v>
      </c>
    </row>
    <row r="143" spans="2:11" x14ac:dyDescent="0.3">
      <c r="B143" s="288" t="s">
        <v>299</v>
      </c>
      <c r="C143" s="292">
        <v>11</v>
      </c>
      <c r="D143" s="281">
        <v>10</v>
      </c>
      <c r="E143" s="278">
        <f t="shared" si="6"/>
        <v>21</v>
      </c>
      <c r="F143" s="276">
        <v>37</v>
      </c>
      <c r="G143" s="278">
        <f t="shared" si="7"/>
        <v>26</v>
      </c>
      <c r="H143" s="278">
        <f>G134-D132-C143</f>
        <v>16</v>
      </c>
      <c r="I143" s="278">
        <f>G132-D134-C143</f>
        <v>12</v>
      </c>
      <c r="J143" s="278">
        <f>G134-D134-C143</f>
        <v>12</v>
      </c>
      <c r="K143" s="279">
        <f>G132-D132-C143</f>
        <v>16</v>
      </c>
    </row>
    <row r="144" spans="2:11" x14ac:dyDescent="0.3">
      <c r="B144" s="288" t="s">
        <v>300</v>
      </c>
      <c r="C144" s="292">
        <v>15</v>
      </c>
      <c r="D144" s="281">
        <v>9</v>
      </c>
      <c r="E144" s="278">
        <f t="shared" si="6"/>
        <v>24</v>
      </c>
      <c r="F144" s="276">
        <v>24</v>
      </c>
      <c r="G144" s="278">
        <f t="shared" si="7"/>
        <v>9</v>
      </c>
      <c r="H144" s="278">
        <f>F134-E132-C144</f>
        <v>0</v>
      </c>
      <c r="I144" s="278">
        <f>F132-E134-C144</f>
        <v>0</v>
      </c>
      <c r="J144" s="278">
        <f>F134-E134-C144</f>
        <v>0</v>
      </c>
      <c r="K144" s="279">
        <f>F132-E132-C144</f>
        <v>0</v>
      </c>
    </row>
    <row r="145" spans="2:11" x14ac:dyDescent="0.3">
      <c r="B145" s="288" t="s">
        <v>301</v>
      </c>
      <c r="C145" s="292">
        <v>10</v>
      </c>
      <c r="D145" s="281">
        <v>9</v>
      </c>
      <c r="E145" s="278">
        <f t="shared" si="6"/>
        <v>19</v>
      </c>
      <c r="F145" s="276">
        <v>56</v>
      </c>
      <c r="G145" s="278">
        <f t="shared" si="7"/>
        <v>46</v>
      </c>
      <c r="H145" s="278">
        <f>H134-E132-C145</f>
        <v>37</v>
      </c>
      <c r="I145" s="278">
        <f>H132-E134-C145</f>
        <v>37</v>
      </c>
      <c r="J145" s="278">
        <f>H134-E134-C145</f>
        <v>37</v>
      </c>
      <c r="K145" s="279">
        <f>H132-E132-C145</f>
        <v>37</v>
      </c>
    </row>
    <row r="146" spans="2:11" x14ac:dyDescent="0.3">
      <c r="B146" s="288" t="s">
        <v>302</v>
      </c>
      <c r="C146" s="292">
        <v>13</v>
      </c>
      <c r="D146" s="281">
        <v>24</v>
      </c>
      <c r="E146" s="278">
        <f t="shared" si="6"/>
        <v>37</v>
      </c>
      <c r="F146" s="276">
        <v>37</v>
      </c>
      <c r="G146" s="278">
        <f t="shared" si="7"/>
        <v>24</v>
      </c>
      <c r="H146" s="278">
        <f>G134-F132-C146</f>
        <v>0</v>
      </c>
      <c r="I146" s="278">
        <f>G132-F134-C146</f>
        <v>0</v>
      </c>
      <c r="J146" s="278">
        <f>G134-F134-C146</f>
        <v>0</v>
      </c>
      <c r="K146" s="279">
        <f>G132-F132-C146</f>
        <v>0</v>
      </c>
    </row>
    <row r="147" spans="2:11" x14ac:dyDescent="0.3">
      <c r="B147" s="288" t="s">
        <v>303</v>
      </c>
      <c r="C147" s="292">
        <v>15</v>
      </c>
      <c r="D147" s="281">
        <v>24</v>
      </c>
      <c r="E147" s="278">
        <f t="shared" si="6"/>
        <v>39</v>
      </c>
      <c r="F147" s="276">
        <v>56</v>
      </c>
      <c r="G147" s="278">
        <f t="shared" si="7"/>
        <v>41</v>
      </c>
      <c r="H147" s="278">
        <f>H134-F132-C147</f>
        <v>17</v>
      </c>
      <c r="I147" s="278">
        <f>H132-F134-C147</f>
        <v>17</v>
      </c>
      <c r="J147" s="278">
        <f>H134-F134-C147</f>
        <v>17</v>
      </c>
      <c r="K147" s="279">
        <f>H132-F132-C147</f>
        <v>17</v>
      </c>
    </row>
    <row r="148" spans="2:11" ht="15" thickBot="1" x14ac:dyDescent="0.35">
      <c r="B148" s="289" t="s">
        <v>304</v>
      </c>
      <c r="C148" s="293">
        <v>19</v>
      </c>
      <c r="D148" s="282">
        <v>37</v>
      </c>
      <c r="E148" s="294">
        <f t="shared" si="6"/>
        <v>56</v>
      </c>
      <c r="F148" s="277">
        <v>56</v>
      </c>
      <c r="G148" s="294">
        <f>F148-C148</f>
        <v>37</v>
      </c>
      <c r="H148" s="294">
        <f>H134-G132-C148</f>
        <v>0</v>
      </c>
      <c r="I148" s="294">
        <f>H132-G134-C148</f>
        <v>0</v>
      </c>
      <c r="J148" s="294">
        <f>H134-G134-C148</f>
        <v>0</v>
      </c>
      <c r="K148" s="295">
        <f>H132-G132-C148</f>
        <v>0</v>
      </c>
    </row>
    <row r="149" spans="2:11" ht="15" thickBot="1" x14ac:dyDescent="0.35"/>
    <row r="150" spans="2:11" ht="16.8" thickBot="1" x14ac:dyDescent="0.35">
      <c r="B150" s="286" t="s">
        <v>288</v>
      </c>
      <c r="C150" s="284" t="s">
        <v>305</v>
      </c>
      <c r="D150" s="290" t="s">
        <v>307</v>
      </c>
      <c r="E150" s="300" t="s">
        <v>291</v>
      </c>
      <c r="F150" s="304" t="s">
        <v>308</v>
      </c>
      <c r="G150" s="305"/>
    </row>
    <row r="151" spans="2:11" x14ac:dyDescent="0.3">
      <c r="B151" s="298" t="s">
        <v>295</v>
      </c>
      <c r="C151" s="280">
        <v>0</v>
      </c>
      <c r="D151" s="291">
        <v>10</v>
      </c>
      <c r="E151" s="301">
        <v>4</v>
      </c>
      <c r="F151" s="306" t="str">
        <f>IF(E151=0,"Критический путь", "Есть резерв")</f>
        <v>Есть резерв</v>
      </c>
      <c r="G151" s="307"/>
    </row>
    <row r="152" spans="2:11" x14ac:dyDescent="0.3">
      <c r="B152" s="288" t="s">
        <v>296</v>
      </c>
      <c r="C152" s="281">
        <v>0</v>
      </c>
      <c r="D152" s="292">
        <v>8.9999999999999982</v>
      </c>
      <c r="E152" s="302">
        <v>0</v>
      </c>
      <c r="F152" s="306" t="str">
        <f t="shared" ref="F152:F160" si="8">IF(E152=0,"Критический путь", "Есть резерв")</f>
        <v>Критический путь</v>
      </c>
      <c r="G152" s="307"/>
    </row>
    <row r="153" spans="2:11" x14ac:dyDescent="0.3">
      <c r="B153" s="288" t="s">
        <v>297</v>
      </c>
      <c r="C153" s="281">
        <v>0</v>
      </c>
      <c r="D153" s="292">
        <v>24</v>
      </c>
      <c r="E153" s="302">
        <v>0</v>
      </c>
      <c r="F153" s="306" t="str">
        <f t="shared" si="8"/>
        <v>Критический путь</v>
      </c>
      <c r="G153" s="307"/>
    </row>
    <row r="154" spans="2:11" x14ac:dyDescent="0.3">
      <c r="B154" s="288" t="s">
        <v>298</v>
      </c>
      <c r="C154" s="281">
        <v>10</v>
      </c>
      <c r="D154" s="292">
        <v>9</v>
      </c>
      <c r="E154" s="302">
        <v>5</v>
      </c>
      <c r="F154" s="306" t="str">
        <f t="shared" si="8"/>
        <v>Есть резерв</v>
      </c>
      <c r="G154" s="307"/>
    </row>
    <row r="155" spans="2:11" x14ac:dyDescent="0.3">
      <c r="B155" s="288" t="s">
        <v>299</v>
      </c>
      <c r="C155" s="281">
        <v>10</v>
      </c>
      <c r="D155" s="292">
        <v>11</v>
      </c>
      <c r="E155" s="302">
        <v>16</v>
      </c>
      <c r="F155" s="306" t="str">
        <f t="shared" si="8"/>
        <v>Есть резерв</v>
      </c>
      <c r="G155" s="307"/>
    </row>
    <row r="156" spans="2:11" x14ac:dyDescent="0.3">
      <c r="B156" s="288" t="s">
        <v>300</v>
      </c>
      <c r="C156" s="281">
        <v>9</v>
      </c>
      <c r="D156" s="292">
        <v>15</v>
      </c>
      <c r="E156" s="302">
        <v>0</v>
      </c>
      <c r="F156" s="306" t="str">
        <f t="shared" si="8"/>
        <v>Критический путь</v>
      </c>
      <c r="G156" s="307"/>
    </row>
    <row r="157" spans="2:11" x14ac:dyDescent="0.3">
      <c r="B157" s="288" t="s">
        <v>301</v>
      </c>
      <c r="C157" s="281">
        <v>9</v>
      </c>
      <c r="D157" s="292">
        <v>10</v>
      </c>
      <c r="E157" s="302">
        <v>37</v>
      </c>
      <c r="F157" s="306" t="str">
        <f t="shared" si="8"/>
        <v>Есть резерв</v>
      </c>
      <c r="G157" s="307"/>
    </row>
    <row r="158" spans="2:11" x14ac:dyDescent="0.3">
      <c r="B158" s="288" t="s">
        <v>302</v>
      </c>
      <c r="C158" s="281">
        <v>24</v>
      </c>
      <c r="D158" s="292">
        <v>13</v>
      </c>
      <c r="E158" s="302">
        <v>0</v>
      </c>
      <c r="F158" s="306" t="str">
        <f t="shared" si="8"/>
        <v>Критический путь</v>
      </c>
      <c r="G158" s="307"/>
    </row>
    <row r="159" spans="2:11" x14ac:dyDescent="0.3">
      <c r="B159" s="288" t="s">
        <v>303</v>
      </c>
      <c r="C159" s="281">
        <v>24</v>
      </c>
      <c r="D159" s="292">
        <v>15</v>
      </c>
      <c r="E159" s="302">
        <v>17</v>
      </c>
      <c r="F159" s="306" t="str">
        <f t="shared" si="8"/>
        <v>Есть резерв</v>
      </c>
      <c r="G159" s="307"/>
    </row>
    <row r="160" spans="2:11" ht="15" thickBot="1" x14ac:dyDescent="0.35">
      <c r="B160" s="289" t="s">
        <v>304</v>
      </c>
      <c r="C160" s="282">
        <v>37</v>
      </c>
      <c r="D160" s="293">
        <v>19</v>
      </c>
      <c r="E160" s="303">
        <v>0</v>
      </c>
      <c r="F160" s="308" t="str">
        <f t="shared" si="8"/>
        <v>Критический путь</v>
      </c>
      <c r="G160" s="309"/>
    </row>
  </sheetData>
  <mergeCells count="74">
    <mergeCell ref="F157:G157"/>
    <mergeCell ref="F158:G158"/>
    <mergeCell ref="F159:G159"/>
    <mergeCell ref="F160:G160"/>
    <mergeCell ref="F152:G152"/>
    <mergeCell ref="F153:G153"/>
    <mergeCell ref="F154:G154"/>
    <mergeCell ref="F155:G155"/>
    <mergeCell ref="F156:G156"/>
    <mergeCell ref="F150:G150"/>
    <mergeCell ref="F151:G151"/>
    <mergeCell ref="G134:G135"/>
    <mergeCell ref="H134:H135"/>
    <mergeCell ref="B134:B135"/>
    <mergeCell ref="C134:C135"/>
    <mergeCell ref="D134:D135"/>
    <mergeCell ref="E134:E135"/>
    <mergeCell ref="F134:F135"/>
    <mergeCell ref="B129:H129"/>
    <mergeCell ref="B132:B133"/>
    <mergeCell ref="C132:C133"/>
    <mergeCell ref="D132:D133"/>
    <mergeCell ref="E132:E133"/>
    <mergeCell ref="F132:F133"/>
    <mergeCell ref="G132:G133"/>
    <mergeCell ref="H132:H133"/>
    <mergeCell ref="B96:B109"/>
    <mergeCell ref="G70:H70"/>
    <mergeCell ref="H126:J126"/>
    <mergeCell ref="B111:M111"/>
    <mergeCell ref="B81:G81"/>
    <mergeCell ref="B94:F94"/>
    <mergeCell ref="B64:H64"/>
    <mergeCell ref="D66:K66"/>
    <mergeCell ref="C70:E79"/>
    <mergeCell ref="C68:H68"/>
    <mergeCell ref="B83:C92"/>
    <mergeCell ref="F47:G47"/>
    <mergeCell ref="F48:G48"/>
    <mergeCell ref="F42:G42"/>
    <mergeCell ref="F43:G43"/>
    <mergeCell ref="F44:G44"/>
    <mergeCell ref="F45:G45"/>
    <mergeCell ref="F46:G46"/>
    <mergeCell ref="B36:H36"/>
    <mergeCell ref="F38:G38"/>
    <mergeCell ref="F39:G39"/>
    <mergeCell ref="F40:G40"/>
    <mergeCell ref="F41:G41"/>
    <mergeCell ref="G16:G17"/>
    <mergeCell ref="H16:H17"/>
    <mergeCell ref="C18:C19"/>
    <mergeCell ref="D18:D19"/>
    <mergeCell ref="E18:E19"/>
    <mergeCell ref="F18:F19"/>
    <mergeCell ref="G18:G19"/>
    <mergeCell ref="H18:H19"/>
    <mergeCell ref="B3:D3"/>
    <mergeCell ref="B4:D4"/>
    <mergeCell ref="B5:D5"/>
    <mergeCell ref="B9:B10"/>
    <mergeCell ref="C9:C10"/>
    <mergeCell ref="D9:M9"/>
    <mergeCell ref="B11:B13"/>
    <mergeCell ref="P19:Y19"/>
    <mergeCell ref="N9:N10"/>
    <mergeCell ref="N11:N13"/>
    <mergeCell ref="B7:N7"/>
    <mergeCell ref="B16:B17"/>
    <mergeCell ref="B18:B19"/>
    <mergeCell ref="C16:C17"/>
    <mergeCell ref="D16:D17"/>
    <mergeCell ref="E16:E17"/>
    <mergeCell ref="F16:F17"/>
  </mergeCells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39593-29B3-48E9-9EB5-804583A39F64}">
  <dimension ref="A1:F69"/>
  <sheetViews>
    <sheetView showGridLines="0" workbookViewId="0">
      <selection activeCell="F69" sqref="A1:F69"/>
    </sheetView>
  </sheetViews>
  <sheetFormatPr defaultRowHeight="14.4" x14ac:dyDescent="0.3"/>
  <cols>
    <col min="1" max="1" width="2.33203125" customWidth="1"/>
    <col min="2" max="2" width="6.21875" bestFit="1" customWidth="1"/>
    <col min="3" max="3" width="21.77734375" bestFit="1" customWidth="1"/>
    <col min="4" max="4" width="12.6640625" bestFit="1" customWidth="1"/>
    <col min="5" max="5" width="13.109375" bestFit="1" customWidth="1"/>
    <col min="6" max="6" width="14" bestFit="1" customWidth="1"/>
  </cols>
  <sheetData>
    <row r="1" spans="1:6" x14ac:dyDescent="0.3">
      <c r="A1" s="93" t="s">
        <v>347</v>
      </c>
    </row>
    <row r="2" spans="1:6" x14ac:dyDescent="0.3">
      <c r="A2" s="93" t="s">
        <v>348</v>
      </c>
    </row>
    <row r="3" spans="1:6" x14ac:dyDescent="0.3">
      <c r="A3" s="93" t="s">
        <v>349</v>
      </c>
    </row>
    <row r="6" spans="1:6" ht="15" thickBot="1" x14ac:dyDescent="0.35">
      <c r="A6" t="s">
        <v>64</v>
      </c>
    </row>
    <row r="7" spans="1:6" ht="15" thickBot="1" x14ac:dyDescent="0.35">
      <c r="B7" s="95" t="s">
        <v>65</v>
      </c>
      <c r="C7" s="95" t="s">
        <v>66</v>
      </c>
      <c r="D7" s="95" t="s">
        <v>67</v>
      </c>
      <c r="E7" s="95" t="s">
        <v>68</v>
      </c>
      <c r="F7" s="95" t="s">
        <v>350</v>
      </c>
    </row>
    <row r="8" spans="1:6" ht="15" thickBot="1" x14ac:dyDescent="0.35">
      <c r="B8" s="94" t="s">
        <v>352</v>
      </c>
      <c r="C8" s="94" t="s">
        <v>353</v>
      </c>
      <c r="D8" s="97">
        <v>0</v>
      </c>
      <c r="E8" s="97">
        <v>0</v>
      </c>
      <c r="F8" s="385" t="s">
        <v>354</v>
      </c>
    </row>
    <row r="11" spans="1:6" ht="15" thickBot="1" x14ac:dyDescent="0.35">
      <c r="A11" t="s">
        <v>69</v>
      </c>
    </row>
    <row r="12" spans="1:6" ht="15" thickBot="1" x14ac:dyDescent="0.35">
      <c r="B12" s="95" t="s">
        <v>65</v>
      </c>
      <c r="C12" s="95" t="s">
        <v>66</v>
      </c>
      <c r="D12" s="95" t="s">
        <v>67</v>
      </c>
      <c r="E12" s="95" t="s">
        <v>68</v>
      </c>
      <c r="F12" s="95" t="s">
        <v>351</v>
      </c>
    </row>
    <row r="13" spans="1:6" x14ac:dyDescent="0.3">
      <c r="B13" s="96" t="s">
        <v>355</v>
      </c>
      <c r="C13" s="96" t="s">
        <v>356</v>
      </c>
      <c r="D13" s="98">
        <v>0</v>
      </c>
      <c r="E13" s="98">
        <v>0</v>
      </c>
      <c r="F13" s="386" t="s">
        <v>354</v>
      </c>
    </row>
    <row r="14" spans="1:6" x14ac:dyDescent="0.3">
      <c r="B14" s="96" t="s">
        <v>357</v>
      </c>
      <c r="C14" s="96" t="s">
        <v>358</v>
      </c>
      <c r="D14" s="98">
        <v>0</v>
      </c>
      <c r="E14" s="98">
        <v>0</v>
      </c>
      <c r="F14" s="386" t="s">
        <v>354</v>
      </c>
    </row>
    <row r="15" spans="1:6" x14ac:dyDescent="0.3">
      <c r="B15" s="96" t="s">
        <v>359</v>
      </c>
      <c r="C15" s="96" t="s">
        <v>360</v>
      </c>
      <c r="D15" s="98">
        <v>0</v>
      </c>
      <c r="E15" s="98">
        <v>0</v>
      </c>
      <c r="F15" s="386" t="s">
        <v>354</v>
      </c>
    </row>
    <row r="16" spans="1:6" x14ac:dyDescent="0.3">
      <c r="B16" s="96" t="s">
        <v>361</v>
      </c>
      <c r="C16" s="96" t="s">
        <v>362</v>
      </c>
      <c r="D16" s="98">
        <v>0</v>
      </c>
      <c r="E16" s="98">
        <v>0</v>
      </c>
      <c r="F16" s="386" t="s">
        <v>354</v>
      </c>
    </row>
    <row r="17" spans="2:6" x14ac:dyDescent="0.3">
      <c r="B17" s="96" t="s">
        <v>363</v>
      </c>
      <c r="C17" s="96" t="s">
        <v>364</v>
      </c>
      <c r="D17" s="98">
        <v>0</v>
      </c>
      <c r="E17" s="98">
        <v>0</v>
      </c>
      <c r="F17" s="386" t="s">
        <v>354</v>
      </c>
    </row>
    <row r="18" spans="2:6" x14ac:dyDescent="0.3">
      <c r="B18" s="96" t="s">
        <v>365</v>
      </c>
      <c r="C18" s="96" t="s">
        <v>366</v>
      </c>
      <c r="D18" s="98">
        <v>0</v>
      </c>
      <c r="E18" s="98">
        <v>0</v>
      </c>
      <c r="F18" s="386" t="s">
        <v>354</v>
      </c>
    </row>
    <row r="19" spans="2:6" x14ac:dyDescent="0.3">
      <c r="B19" s="96" t="s">
        <v>367</v>
      </c>
      <c r="C19" s="96" t="s">
        <v>368</v>
      </c>
      <c r="D19" s="98">
        <v>0</v>
      </c>
      <c r="E19" s="98">
        <v>0</v>
      </c>
      <c r="F19" s="386" t="s">
        <v>354</v>
      </c>
    </row>
    <row r="20" spans="2:6" x14ac:dyDescent="0.3">
      <c r="B20" s="96" t="s">
        <v>369</v>
      </c>
      <c r="C20" s="96" t="s">
        <v>370</v>
      </c>
      <c r="D20" s="98">
        <v>0</v>
      </c>
      <c r="E20" s="98">
        <v>0</v>
      </c>
      <c r="F20" s="386" t="s">
        <v>354</v>
      </c>
    </row>
    <row r="21" spans="2:6" x14ac:dyDescent="0.3">
      <c r="B21" s="96" t="s">
        <v>371</v>
      </c>
      <c r="C21" s="96" t="s">
        <v>372</v>
      </c>
      <c r="D21" s="98">
        <v>0</v>
      </c>
      <c r="E21" s="98">
        <v>0</v>
      </c>
      <c r="F21" s="386" t="s">
        <v>354</v>
      </c>
    </row>
    <row r="22" spans="2:6" x14ac:dyDescent="0.3">
      <c r="B22" s="96" t="s">
        <v>373</v>
      </c>
      <c r="C22" s="96" t="s">
        <v>374</v>
      </c>
      <c r="D22" s="387">
        <v>0</v>
      </c>
      <c r="E22" s="387">
        <v>0</v>
      </c>
      <c r="F22" s="386" t="s">
        <v>354</v>
      </c>
    </row>
    <row r="23" spans="2:6" x14ac:dyDescent="0.3">
      <c r="B23" s="96" t="s">
        <v>375</v>
      </c>
      <c r="C23" s="96" t="s">
        <v>376</v>
      </c>
      <c r="D23" s="387">
        <v>0</v>
      </c>
      <c r="E23" s="387">
        <v>0</v>
      </c>
      <c r="F23" s="386" t="s">
        <v>354</v>
      </c>
    </row>
    <row r="24" spans="2:6" x14ac:dyDescent="0.3">
      <c r="B24" s="96" t="s">
        <v>377</v>
      </c>
      <c r="C24" s="96" t="s">
        <v>378</v>
      </c>
      <c r="D24" s="98">
        <v>0</v>
      </c>
      <c r="E24" s="98">
        <v>0</v>
      </c>
      <c r="F24" s="386" t="s">
        <v>354</v>
      </c>
    </row>
    <row r="25" spans="2:6" x14ac:dyDescent="0.3">
      <c r="B25" s="96" t="s">
        <v>379</v>
      </c>
      <c r="C25" s="96" t="s">
        <v>380</v>
      </c>
      <c r="D25" s="387">
        <v>0</v>
      </c>
      <c r="E25" s="387">
        <v>0</v>
      </c>
      <c r="F25" s="386" t="s">
        <v>354</v>
      </c>
    </row>
    <row r="26" spans="2:6" x14ac:dyDescent="0.3">
      <c r="B26" s="96" t="s">
        <v>381</v>
      </c>
      <c r="C26" s="96" t="s">
        <v>382</v>
      </c>
      <c r="D26" s="387">
        <v>0</v>
      </c>
      <c r="E26" s="387">
        <v>0</v>
      </c>
      <c r="F26" s="386" t="s">
        <v>354</v>
      </c>
    </row>
    <row r="27" spans="2:6" x14ac:dyDescent="0.3">
      <c r="B27" s="96" t="s">
        <v>383</v>
      </c>
      <c r="C27" s="96" t="s">
        <v>384</v>
      </c>
      <c r="D27" s="98">
        <v>0</v>
      </c>
      <c r="E27" s="98">
        <v>0</v>
      </c>
      <c r="F27" s="386" t="s">
        <v>354</v>
      </c>
    </row>
    <row r="28" spans="2:6" x14ac:dyDescent="0.3">
      <c r="B28" s="96" t="s">
        <v>385</v>
      </c>
      <c r="C28" s="96" t="s">
        <v>386</v>
      </c>
      <c r="D28" s="98">
        <v>0</v>
      </c>
      <c r="E28" s="98">
        <v>0</v>
      </c>
      <c r="F28" s="386" t="s">
        <v>354</v>
      </c>
    </row>
    <row r="29" spans="2:6" x14ac:dyDescent="0.3">
      <c r="B29" s="96" t="s">
        <v>387</v>
      </c>
      <c r="C29" s="96" t="s">
        <v>388</v>
      </c>
      <c r="D29" s="98">
        <v>0</v>
      </c>
      <c r="E29" s="98">
        <v>0</v>
      </c>
      <c r="F29" s="386" t="s">
        <v>354</v>
      </c>
    </row>
    <row r="30" spans="2:6" x14ac:dyDescent="0.3">
      <c r="B30" s="96" t="s">
        <v>389</v>
      </c>
      <c r="C30" s="96" t="s">
        <v>390</v>
      </c>
      <c r="D30" s="98">
        <v>0</v>
      </c>
      <c r="E30" s="98">
        <v>0</v>
      </c>
      <c r="F30" s="386" t="s">
        <v>354</v>
      </c>
    </row>
    <row r="31" spans="2:6" x14ac:dyDescent="0.3">
      <c r="B31" s="96" t="s">
        <v>391</v>
      </c>
      <c r="C31" s="96" t="s">
        <v>392</v>
      </c>
      <c r="D31" s="98">
        <v>0</v>
      </c>
      <c r="E31" s="98">
        <v>0</v>
      </c>
      <c r="F31" s="386" t="s">
        <v>354</v>
      </c>
    </row>
    <row r="32" spans="2:6" x14ac:dyDescent="0.3">
      <c r="B32" s="96" t="s">
        <v>393</v>
      </c>
      <c r="C32" s="96" t="s">
        <v>394</v>
      </c>
      <c r="D32" s="98">
        <v>0</v>
      </c>
      <c r="E32" s="98">
        <v>0</v>
      </c>
      <c r="F32" s="386" t="s">
        <v>354</v>
      </c>
    </row>
    <row r="33" spans="1:6" x14ac:dyDescent="0.3">
      <c r="B33" s="96" t="s">
        <v>395</v>
      </c>
      <c r="C33" s="96" t="s">
        <v>396</v>
      </c>
      <c r="D33" s="98">
        <v>0</v>
      </c>
      <c r="E33" s="98">
        <v>0</v>
      </c>
      <c r="F33" s="386" t="s">
        <v>354</v>
      </c>
    </row>
    <row r="34" spans="1:6" x14ac:dyDescent="0.3">
      <c r="B34" s="96" t="s">
        <v>397</v>
      </c>
      <c r="C34" s="96" t="s">
        <v>398</v>
      </c>
      <c r="D34" s="98">
        <v>0</v>
      </c>
      <c r="E34" s="98">
        <v>0</v>
      </c>
      <c r="F34" s="386" t="s">
        <v>354</v>
      </c>
    </row>
    <row r="35" spans="1:6" x14ac:dyDescent="0.3">
      <c r="B35" s="96" t="s">
        <v>399</v>
      </c>
      <c r="C35" s="96" t="s">
        <v>400</v>
      </c>
      <c r="D35" s="98">
        <v>0</v>
      </c>
      <c r="E35" s="98">
        <v>0</v>
      </c>
      <c r="F35" s="386" t="s">
        <v>354</v>
      </c>
    </row>
    <row r="36" spans="1:6" ht="15" thickBot="1" x14ac:dyDescent="0.35">
      <c r="B36" s="94" t="s">
        <v>401</v>
      </c>
      <c r="C36" s="94" t="s">
        <v>402</v>
      </c>
      <c r="D36" s="388">
        <v>0</v>
      </c>
      <c r="E36" s="388">
        <v>0</v>
      </c>
      <c r="F36" s="385" t="s">
        <v>354</v>
      </c>
    </row>
    <row r="39" spans="1:6" ht="15" thickBot="1" x14ac:dyDescent="0.35">
      <c r="A39" t="s">
        <v>71</v>
      </c>
    </row>
    <row r="40" spans="1:6" ht="15" thickBot="1" x14ac:dyDescent="0.35">
      <c r="B40" s="95" t="s">
        <v>65</v>
      </c>
      <c r="C40" s="95" t="s">
        <v>66</v>
      </c>
      <c r="D40" s="95" t="s">
        <v>72</v>
      </c>
      <c r="E40" s="95" t="s">
        <v>73</v>
      </c>
      <c r="F40" s="95" t="s">
        <v>350</v>
      </c>
    </row>
    <row r="41" spans="1:6" x14ac:dyDescent="0.3">
      <c r="B41" s="96" t="s">
        <v>373</v>
      </c>
      <c r="C41" s="96" t="s">
        <v>374</v>
      </c>
      <c r="D41" s="387">
        <v>0</v>
      </c>
      <c r="E41" s="96" t="s">
        <v>403</v>
      </c>
      <c r="F41" s="386" t="s">
        <v>354</v>
      </c>
    </row>
    <row r="42" spans="1:6" x14ac:dyDescent="0.3">
      <c r="B42" s="96" t="s">
        <v>379</v>
      </c>
      <c r="C42" s="96" t="s">
        <v>380</v>
      </c>
      <c r="D42" s="387">
        <v>0</v>
      </c>
      <c r="E42" s="96" t="s">
        <v>404</v>
      </c>
      <c r="F42" s="386" t="s">
        <v>354</v>
      </c>
    </row>
    <row r="43" spans="1:6" x14ac:dyDescent="0.3">
      <c r="B43" s="96" t="s">
        <v>385</v>
      </c>
      <c r="C43" s="96" t="s">
        <v>386</v>
      </c>
      <c r="D43" s="98">
        <v>0</v>
      </c>
      <c r="E43" s="96" t="s">
        <v>405</v>
      </c>
      <c r="F43" s="386" t="s">
        <v>354</v>
      </c>
    </row>
    <row r="44" spans="1:6" x14ac:dyDescent="0.3">
      <c r="B44" s="96" t="s">
        <v>379</v>
      </c>
      <c r="C44" s="96" t="s">
        <v>380</v>
      </c>
      <c r="D44" s="387">
        <v>0</v>
      </c>
      <c r="E44" s="96" t="s">
        <v>406</v>
      </c>
      <c r="F44" s="386" t="s">
        <v>354</v>
      </c>
    </row>
    <row r="45" spans="1:6" x14ac:dyDescent="0.3">
      <c r="B45" s="96" t="s">
        <v>385</v>
      </c>
      <c r="C45" s="96" t="s">
        <v>386</v>
      </c>
      <c r="D45" s="98">
        <v>0</v>
      </c>
      <c r="E45" s="96" t="s">
        <v>407</v>
      </c>
      <c r="F45" s="386" t="s">
        <v>354</v>
      </c>
    </row>
    <row r="46" spans="1:6" x14ac:dyDescent="0.3">
      <c r="B46" s="96" t="s">
        <v>391</v>
      </c>
      <c r="C46" s="96" t="s">
        <v>392</v>
      </c>
      <c r="D46" s="98">
        <v>0</v>
      </c>
      <c r="E46" s="96" t="s">
        <v>408</v>
      </c>
      <c r="F46" s="386" t="s">
        <v>354</v>
      </c>
    </row>
    <row r="47" spans="1:6" x14ac:dyDescent="0.3">
      <c r="B47" s="96" t="s">
        <v>391</v>
      </c>
      <c r="C47" s="96" t="s">
        <v>392</v>
      </c>
      <c r="D47" s="98">
        <v>0</v>
      </c>
      <c r="E47" s="96" t="s">
        <v>409</v>
      </c>
      <c r="F47" s="386" t="s">
        <v>354</v>
      </c>
    </row>
    <row r="48" spans="1:6" x14ac:dyDescent="0.3">
      <c r="B48" s="96" t="s">
        <v>397</v>
      </c>
      <c r="C48" s="96" t="s">
        <v>398</v>
      </c>
      <c r="D48" s="98">
        <v>0</v>
      </c>
      <c r="E48" s="96" t="s">
        <v>410</v>
      </c>
      <c r="F48" s="386" t="s">
        <v>354</v>
      </c>
    </row>
    <row r="49" spans="2:6" x14ac:dyDescent="0.3">
      <c r="B49" s="96" t="s">
        <v>397</v>
      </c>
      <c r="C49" s="96" t="s">
        <v>398</v>
      </c>
      <c r="D49" s="98">
        <v>0</v>
      </c>
      <c r="E49" s="96" t="s">
        <v>411</v>
      </c>
      <c r="F49" s="386" t="s">
        <v>354</v>
      </c>
    </row>
    <row r="50" spans="2:6" x14ac:dyDescent="0.3">
      <c r="B50" s="96" t="s">
        <v>387</v>
      </c>
      <c r="C50" s="96" t="s">
        <v>388</v>
      </c>
      <c r="D50" s="98">
        <v>0</v>
      </c>
      <c r="E50" s="96" t="s">
        <v>412</v>
      </c>
      <c r="F50" s="386" t="s">
        <v>354</v>
      </c>
    </row>
    <row r="51" spans="2:6" x14ac:dyDescent="0.3">
      <c r="B51" s="96" t="s">
        <v>393</v>
      </c>
      <c r="C51" s="96" t="s">
        <v>394</v>
      </c>
      <c r="D51" s="98">
        <v>0</v>
      </c>
      <c r="E51" s="96" t="s">
        <v>413</v>
      </c>
      <c r="F51" s="386" t="s">
        <v>354</v>
      </c>
    </row>
    <row r="52" spans="2:6" x14ac:dyDescent="0.3">
      <c r="B52" s="96" t="s">
        <v>399</v>
      </c>
      <c r="C52" s="96" t="s">
        <v>400</v>
      </c>
      <c r="D52" s="98">
        <v>0</v>
      </c>
      <c r="E52" s="96" t="s">
        <v>414</v>
      </c>
      <c r="F52" s="96" t="s">
        <v>415</v>
      </c>
    </row>
    <row r="53" spans="2:6" x14ac:dyDescent="0.3">
      <c r="B53" s="96" t="s">
        <v>416</v>
      </c>
      <c r="C53" s="96" t="s">
        <v>417</v>
      </c>
      <c r="D53" s="98">
        <v>0</v>
      </c>
      <c r="E53" s="96" t="s">
        <v>418</v>
      </c>
      <c r="F53" s="386" t="s">
        <v>354</v>
      </c>
    </row>
    <row r="54" spans="2:6" x14ac:dyDescent="0.3">
      <c r="B54" s="96" t="s">
        <v>419</v>
      </c>
      <c r="C54" s="96" t="s">
        <v>420</v>
      </c>
      <c r="D54" s="98">
        <v>0</v>
      </c>
      <c r="E54" s="96" t="s">
        <v>421</v>
      </c>
      <c r="F54" s="386" t="s">
        <v>354</v>
      </c>
    </row>
    <row r="55" spans="2:6" x14ac:dyDescent="0.3">
      <c r="B55" s="96" t="s">
        <v>422</v>
      </c>
      <c r="C55" s="96" t="s">
        <v>423</v>
      </c>
      <c r="D55" s="98">
        <v>0</v>
      </c>
      <c r="E55" s="96" t="s">
        <v>424</v>
      </c>
      <c r="F55" s="386" t="s">
        <v>354</v>
      </c>
    </row>
    <row r="56" spans="2:6" x14ac:dyDescent="0.3">
      <c r="B56" s="96" t="s">
        <v>425</v>
      </c>
      <c r="C56" s="96" t="s">
        <v>426</v>
      </c>
      <c r="D56" s="98">
        <v>0</v>
      </c>
      <c r="E56" s="96" t="s">
        <v>427</v>
      </c>
      <c r="F56" s="386" t="s">
        <v>354</v>
      </c>
    </row>
    <row r="57" spans="2:6" x14ac:dyDescent="0.3">
      <c r="B57" s="96" t="s">
        <v>428</v>
      </c>
      <c r="C57" s="96" t="s">
        <v>429</v>
      </c>
      <c r="D57" s="98">
        <v>0</v>
      </c>
      <c r="E57" s="96" t="s">
        <v>430</v>
      </c>
      <c r="F57" s="386" t="s">
        <v>354</v>
      </c>
    </row>
    <row r="58" spans="2:6" x14ac:dyDescent="0.3">
      <c r="B58" s="96" t="s">
        <v>431</v>
      </c>
      <c r="C58" s="96" t="s">
        <v>432</v>
      </c>
      <c r="D58" s="98">
        <v>0</v>
      </c>
      <c r="E58" s="96" t="s">
        <v>433</v>
      </c>
      <c r="F58" s="386" t="s">
        <v>354</v>
      </c>
    </row>
    <row r="59" spans="2:6" x14ac:dyDescent="0.3">
      <c r="B59" s="96" t="s">
        <v>434</v>
      </c>
      <c r="C59" s="96" t="s">
        <v>435</v>
      </c>
      <c r="D59" s="98">
        <v>0</v>
      </c>
      <c r="E59" s="96" t="s">
        <v>436</v>
      </c>
      <c r="F59" s="386" t="s">
        <v>354</v>
      </c>
    </row>
    <row r="60" spans="2:6" x14ac:dyDescent="0.3">
      <c r="B60" s="96" t="s">
        <v>437</v>
      </c>
      <c r="C60" s="96" t="s">
        <v>438</v>
      </c>
      <c r="D60" s="98">
        <v>0</v>
      </c>
      <c r="E60" s="96" t="s">
        <v>439</v>
      </c>
      <c r="F60" s="386" t="s">
        <v>354</v>
      </c>
    </row>
    <row r="61" spans="2:6" x14ac:dyDescent="0.3">
      <c r="B61" s="96" t="s">
        <v>416</v>
      </c>
      <c r="C61" s="96" t="s">
        <v>417</v>
      </c>
      <c r="D61" s="98">
        <v>0</v>
      </c>
      <c r="E61" s="96" t="s">
        <v>440</v>
      </c>
      <c r="F61" s="386" t="s">
        <v>354</v>
      </c>
    </row>
    <row r="62" spans="2:6" x14ac:dyDescent="0.3">
      <c r="B62" s="96" t="s">
        <v>419</v>
      </c>
      <c r="C62" s="96" t="s">
        <v>420</v>
      </c>
      <c r="D62" s="98">
        <v>0</v>
      </c>
      <c r="E62" s="96" t="s">
        <v>441</v>
      </c>
      <c r="F62" s="386" t="s">
        <v>354</v>
      </c>
    </row>
    <row r="63" spans="2:6" x14ac:dyDescent="0.3">
      <c r="B63" s="96" t="s">
        <v>422</v>
      </c>
      <c r="C63" s="96" t="s">
        <v>423</v>
      </c>
      <c r="D63" s="98">
        <v>0</v>
      </c>
      <c r="E63" s="96" t="s">
        <v>442</v>
      </c>
      <c r="F63" s="386" t="s">
        <v>354</v>
      </c>
    </row>
    <row r="64" spans="2:6" x14ac:dyDescent="0.3">
      <c r="B64" s="96" t="s">
        <v>425</v>
      </c>
      <c r="C64" s="96" t="s">
        <v>426</v>
      </c>
      <c r="D64" s="98">
        <v>0</v>
      </c>
      <c r="E64" s="96" t="s">
        <v>443</v>
      </c>
      <c r="F64" s="386" t="s">
        <v>354</v>
      </c>
    </row>
    <row r="65" spans="2:6" x14ac:dyDescent="0.3">
      <c r="B65" s="96" t="s">
        <v>428</v>
      </c>
      <c r="C65" s="96" t="s">
        <v>429</v>
      </c>
      <c r="D65" s="98">
        <v>0</v>
      </c>
      <c r="E65" s="96" t="s">
        <v>444</v>
      </c>
      <c r="F65" s="386" t="s">
        <v>354</v>
      </c>
    </row>
    <row r="66" spans="2:6" x14ac:dyDescent="0.3">
      <c r="B66" s="96" t="s">
        <v>431</v>
      </c>
      <c r="C66" s="96" t="s">
        <v>432</v>
      </c>
      <c r="D66" s="98">
        <v>0</v>
      </c>
      <c r="E66" s="96" t="s">
        <v>445</v>
      </c>
      <c r="F66" s="386" t="s">
        <v>354</v>
      </c>
    </row>
    <row r="67" spans="2:6" x14ac:dyDescent="0.3">
      <c r="B67" s="96" t="s">
        <v>434</v>
      </c>
      <c r="C67" s="96" t="s">
        <v>435</v>
      </c>
      <c r="D67" s="98">
        <v>0</v>
      </c>
      <c r="E67" s="96" t="s">
        <v>446</v>
      </c>
      <c r="F67" s="386" t="s">
        <v>354</v>
      </c>
    </row>
    <row r="68" spans="2:6" x14ac:dyDescent="0.3">
      <c r="B68" s="96" t="s">
        <v>437</v>
      </c>
      <c r="C68" s="96" t="s">
        <v>438</v>
      </c>
      <c r="D68" s="98">
        <v>0</v>
      </c>
      <c r="E68" s="96" t="s">
        <v>447</v>
      </c>
      <c r="F68" s="386" t="s">
        <v>354</v>
      </c>
    </row>
    <row r="69" spans="2:6" ht="15" thickBot="1" x14ac:dyDescent="0.35">
      <c r="B69" s="94" t="s">
        <v>448</v>
      </c>
      <c r="C69" s="94" t="s">
        <v>449</v>
      </c>
      <c r="D69" s="388">
        <v>0</v>
      </c>
      <c r="E69" s="94" t="s">
        <v>450</v>
      </c>
      <c r="F69" s="385" t="s">
        <v>354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DFF8-7B82-4337-A7D5-A100F18075ED}">
  <dimension ref="B3:T89"/>
  <sheetViews>
    <sheetView zoomScale="70" zoomScaleNormal="70" workbookViewId="0">
      <selection activeCell="G83" sqref="G83"/>
    </sheetView>
  </sheetViews>
  <sheetFormatPr defaultRowHeight="14.4" x14ac:dyDescent="0.3"/>
  <cols>
    <col min="3" max="3" width="10.6640625" customWidth="1"/>
  </cols>
  <sheetData>
    <row r="3" spans="2:14" x14ac:dyDescent="0.3">
      <c r="B3" s="211" t="s">
        <v>0</v>
      </c>
      <c r="C3" s="212"/>
      <c r="D3" s="213"/>
      <c r="N3" s="239"/>
    </row>
    <row r="4" spans="2:14" x14ac:dyDescent="0.3">
      <c r="B4" s="214">
        <v>351004</v>
      </c>
      <c r="C4" s="215"/>
      <c r="D4" s="216"/>
      <c r="N4" s="239"/>
    </row>
    <row r="5" spans="2:14" x14ac:dyDescent="0.3">
      <c r="B5" s="217" t="s">
        <v>1</v>
      </c>
      <c r="C5" s="218"/>
      <c r="D5" s="219"/>
      <c r="N5" s="239"/>
    </row>
    <row r="6" spans="2:14" x14ac:dyDescent="0.3">
      <c r="N6" s="239"/>
    </row>
    <row r="7" spans="2:14" x14ac:dyDescent="0.3">
      <c r="B7" s="208" t="s">
        <v>276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10"/>
    </row>
    <row r="8" spans="2:14" x14ac:dyDescent="0.3">
      <c r="N8" s="239"/>
    </row>
    <row r="9" spans="2:14" x14ac:dyDescent="0.3">
      <c r="B9" s="345" t="s">
        <v>277</v>
      </c>
      <c r="C9" s="350" t="s">
        <v>278</v>
      </c>
      <c r="D9" s="352" t="s">
        <v>279</v>
      </c>
      <c r="E9" s="353"/>
      <c r="F9" s="353"/>
      <c r="G9" s="353"/>
      <c r="H9" s="353"/>
      <c r="I9" s="353"/>
      <c r="J9" s="353"/>
      <c r="K9" s="354" t="s">
        <v>280</v>
      </c>
      <c r="L9" s="203"/>
      <c r="M9" s="203"/>
      <c r="N9" s="344"/>
    </row>
    <row r="10" spans="2:14" x14ac:dyDescent="0.3">
      <c r="B10" s="346"/>
      <c r="C10" s="351"/>
      <c r="D10" s="244">
        <v>1.2</v>
      </c>
      <c r="E10" s="244">
        <v>1.3</v>
      </c>
      <c r="F10" s="244">
        <v>1.4</v>
      </c>
      <c r="G10" s="244">
        <v>2.2999999999999998</v>
      </c>
      <c r="H10" s="244">
        <v>3.4</v>
      </c>
      <c r="I10" s="244">
        <v>3.5</v>
      </c>
      <c r="J10" s="245">
        <v>4.5</v>
      </c>
      <c r="K10" s="354"/>
      <c r="L10" s="133"/>
      <c r="M10" s="133"/>
      <c r="N10" s="344"/>
    </row>
    <row r="11" spans="2:14" x14ac:dyDescent="0.3">
      <c r="B11" s="347">
        <v>22</v>
      </c>
      <c r="C11" s="339" t="s">
        <v>281</v>
      </c>
      <c r="D11" s="12">
        <v>9</v>
      </c>
      <c r="E11" s="12">
        <v>18</v>
      </c>
      <c r="F11" s="12">
        <v>21</v>
      </c>
      <c r="G11" s="12">
        <v>7</v>
      </c>
      <c r="H11" s="12">
        <v>12</v>
      </c>
      <c r="I11" s="12">
        <v>19</v>
      </c>
      <c r="J11" s="206">
        <v>20</v>
      </c>
      <c r="K11" s="355">
        <v>33</v>
      </c>
      <c r="L11" s="62"/>
      <c r="M11" s="62"/>
      <c r="N11" s="131"/>
    </row>
    <row r="12" spans="2:14" x14ac:dyDescent="0.3">
      <c r="B12" s="348"/>
      <c r="C12" s="339" t="s">
        <v>282</v>
      </c>
      <c r="D12" s="12">
        <v>6</v>
      </c>
      <c r="E12" s="12">
        <v>14</v>
      </c>
      <c r="F12" s="12">
        <v>18</v>
      </c>
      <c r="G12" s="12">
        <v>4</v>
      </c>
      <c r="H12" s="12">
        <v>9</v>
      </c>
      <c r="I12" s="12">
        <v>15</v>
      </c>
      <c r="J12" s="206">
        <v>16</v>
      </c>
      <c r="K12" s="355"/>
      <c r="L12" s="62"/>
      <c r="M12" s="62"/>
      <c r="N12" s="131"/>
    </row>
    <row r="13" spans="2:14" x14ac:dyDescent="0.3">
      <c r="B13" s="349"/>
      <c r="C13" s="339" t="s">
        <v>283</v>
      </c>
      <c r="D13" s="12">
        <v>0.2</v>
      </c>
      <c r="E13" s="12">
        <v>0.25</v>
      </c>
      <c r="F13" s="12">
        <v>0.15</v>
      </c>
      <c r="G13" s="12">
        <v>0.4</v>
      </c>
      <c r="H13" s="12">
        <v>0.3</v>
      </c>
      <c r="I13" s="12">
        <v>0.12</v>
      </c>
      <c r="J13" s="206">
        <v>0.2</v>
      </c>
      <c r="K13" s="355"/>
      <c r="L13" s="62"/>
      <c r="M13" s="62"/>
      <c r="N13" s="131"/>
    </row>
    <row r="14" spans="2:14" ht="15" thickBot="1" x14ac:dyDescent="0.35">
      <c r="B14" s="203"/>
      <c r="C14" s="203"/>
      <c r="D14" s="203"/>
      <c r="E14" s="203"/>
      <c r="F14" s="203"/>
      <c r="G14" s="203"/>
      <c r="H14" s="203"/>
      <c r="I14" s="203"/>
      <c r="J14" s="133"/>
      <c r="K14" s="133"/>
      <c r="L14" s="133"/>
      <c r="M14" s="207"/>
      <c r="N14" s="239"/>
    </row>
    <row r="15" spans="2:14" ht="15" thickBot="1" x14ac:dyDescent="0.35">
      <c r="B15" s="272" t="s">
        <v>285</v>
      </c>
      <c r="C15" s="273">
        <v>1</v>
      </c>
      <c r="D15" s="274">
        <v>2</v>
      </c>
      <c r="E15" s="274">
        <v>3</v>
      </c>
      <c r="F15" s="274">
        <v>4</v>
      </c>
      <c r="G15" s="275">
        <v>5</v>
      </c>
      <c r="H15" s="131"/>
      <c r="I15" s="130"/>
      <c r="J15" s="133"/>
      <c r="K15" s="133"/>
      <c r="L15" s="133"/>
      <c r="M15" s="207"/>
      <c r="N15" s="239"/>
    </row>
    <row r="16" spans="2:14" x14ac:dyDescent="0.3">
      <c r="B16" s="257" t="s">
        <v>286</v>
      </c>
      <c r="C16" s="260">
        <v>0</v>
      </c>
      <c r="D16" s="261">
        <v>9</v>
      </c>
      <c r="E16" s="261">
        <v>18</v>
      </c>
      <c r="F16" s="261">
        <v>30</v>
      </c>
      <c r="G16" s="262">
        <v>50</v>
      </c>
      <c r="H16" s="131"/>
      <c r="I16" s="130"/>
      <c r="J16" s="130"/>
      <c r="K16" s="130"/>
      <c r="L16" s="130"/>
      <c r="M16" s="130"/>
      <c r="N16" s="130"/>
    </row>
    <row r="17" spans="2:14" x14ac:dyDescent="0.3">
      <c r="B17" s="257"/>
      <c r="C17" s="263"/>
      <c r="D17" s="264"/>
      <c r="E17" s="264"/>
      <c r="F17" s="264"/>
      <c r="G17" s="265"/>
      <c r="H17" s="131"/>
      <c r="I17" s="130"/>
      <c r="J17" s="130"/>
      <c r="K17" s="130"/>
      <c r="L17" s="130"/>
      <c r="M17" s="130"/>
      <c r="N17" s="130"/>
    </row>
    <row r="18" spans="2:14" x14ac:dyDescent="0.3">
      <c r="B18" s="257" t="s">
        <v>287</v>
      </c>
      <c r="C18" s="266">
        <v>0</v>
      </c>
      <c r="D18" s="267">
        <v>11</v>
      </c>
      <c r="E18" s="267">
        <v>18</v>
      </c>
      <c r="F18" s="267">
        <v>30</v>
      </c>
      <c r="G18" s="268">
        <v>50</v>
      </c>
      <c r="H18" s="131"/>
      <c r="I18" s="130"/>
      <c r="J18" s="130"/>
      <c r="K18" s="130"/>
      <c r="L18" s="130"/>
      <c r="M18" s="130"/>
      <c r="N18" s="130"/>
    </row>
    <row r="19" spans="2:14" ht="15" thickBot="1" x14ac:dyDescent="0.35">
      <c r="B19" s="258"/>
      <c r="C19" s="269"/>
      <c r="D19" s="270"/>
      <c r="E19" s="270"/>
      <c r="F19" s="270"/>
      <c r="G19" s="271"/>
      <c r="H19" s="131"/>
      <c r="I19" s="130"/>
      <c r="J19" s="130"/>
      <c r="K19" s="130"/>
      <c r="L19" s="130"/>
      <c r="M19" s="130"/>
      <c r="N19" s="130"/>
    </row>
    <row r="20" spans="2:14" x14ac:dyDescent="0.3"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</row>
    <row r="21" spans="2:14" ht="14.4" customHeight="1" x14ac:dyDescent="0.3">
      <c r="B21" s="357" t="s">
        <v>326</v>
      </c>
      <c r="C21" s="357"/>
      <c r="D21" s="357"/>
      <c r="E21" s="357"/>
      <c r="F21" s="357"/>
      <c r="G21" s="357"/>
      <c r="H21" s="357"/>
      <c r="I21" s="357"/>
      <c r="J21" s="130"/>
      <c r="K21" s="130"/>
      <c r="L21" s="130"/>
      <c r="M21" s="130"/>
      <c r="N21" s="130"/>
    </row>
    <row r="22" spans="2:14" ht="14.4" customHeight="1" thickBot="1" x14ac:dyDescent="0.35">
      <c r="B22" s="356"/>
      <c r="C22" s="356"/>
      <c r="D22" s="356"/>
      <c r="E22" s="356"/>
      <c r="F22" s="356"/>
      <c r="G22" s="356"/>
      <c r="H22" s="356"/>
      <c r="I22" s="356"/>
      <c r="J22" s="356"/>
      <c r="K22" s="356"/>
      <c r="L22" s="130"/>
      <c r="M22" s="130"/>
      <c r="N22" s="130"/>
    </row>
    <row r="23" spans="2:14" ht="23.4" customHeight="1" thickBot="1" x14ac:dyDescent="0.35">
      <c r="B23" s="221" t="s">
        <v>327</v>
      </c>
      <c r="C23" s="222"/>
      <c r="D23" s="222"/>
      <c r="E23" s="222"/>
      <c r="F23" s="222"/>
      <c r="G23" s="222"/>
      <c r="H23" s="222"/>
      <c r="I23" s="223"/>
      <c r="L23" s="130"/>
      <c r="M23" s="130"/>
      <c r="N23" s="130"/>
    </row>
    <row r="24" spans="2:14" x14ac:dyDescent="0.3">
      <c r="L24" s="130"/>
      <c r="M24" s="130"/>
      <c r="N24" s="130"/>
    </row>
    <row r="25" spans="2:14" x14ac:dyDescent="0.3">
      <c r="B25" s="357" t="s">
        <v>321</v>
      </c>
      <c r="C25" s="357"/>
      <c r="D25" s="357"/>
      <c r="E25" s="357"/>
      <c r="F25" s="357"/>
      <c r="G25" s="357"/>
      <c r="H25" s="357"/>
      <c r="I25" s="357"/>
      <c r="L25" s="130"/>
      <c r="M25" s="130"/>
      <c r="N25" s="130"/>
    </row>
    <row r="26" spans="2:14" ht="15" thickBot="1" x14ac:dyDescent="0.35">
      <c r="L26" s="130"/>
      <c r="M26" s="130"/>
      <c r="N26" s="130"/>
    </row>
    <row r="27" spans="2:14" ht="23.4" customHeight="1" thickBot="1" x14ac:dyDescent="0.35">
      <c r="B27" s="358" t="s">
        <v>328</v>
      </c>
      <c r="C27" s="359"/>
      <c r="D27" s="359"/>
      <c r="E27" s="359"/>
      <c r="F27" s="359"/>
      <c r="G27" s="359"/>
      <c r="H27" s="359"/>
      <c r="I27" s="360"/>
      <c r="L27" s="130"/>
      <c r="M27" s="130"/>
      <c r="N27" s="130"/>
    </row>
    <row r="28" spans="2:14" x14ac:dyDescent="0.3">
      <c r="L28" s="130"/>
      <c r="M28" s="130"/>
      <c r="N28" s="130"/>
    </row>
    <row r="29" spans="2:14" x14ac:dyDescent="0.3">
      <c r="B29" s="312" t="s">
        <v>322</v>
      </c>
      <c r="C29" s="313"/>
      <c r="D29" s="313"/>
      <c r="E29" s="313"/>
      <c r="F29" s="313"/>
      <c r="G29" s="313"/>
      <c r="H29" s="313"/>
      <c r="I29" s="314"/>
      <c r="L29" s="130"/>
      <c r="M29" s="130"/>
      <c r="N29" s="130"/>
    </row>
    <row r="30" spans="2:14" ht="15" thickBot="1" x14ac:dyDescent="0.35">
      <c r="L30" s="130"/>
      <c r="M30" s="130"/>
      <c r="N30" s="130"/>
    </row>
    <row r="31" spans="2:14" ht="18.600000000000001" customHeight="1" x14ac:dyDescent="0.3">
      <c r="B31" s="363" t="s">
        <v>329</v>
      </c>
      <c r="C31" s="364"/>
      <c r="D31" s="364"/>
      <c r="E31" s="364"/>
      <c r="F31" s="364"/>
      <c r="G31" s="364"/>
      <c r="H31" s="364"/>
      <c r="I31" s="365"/>
      <c r="J31" s="62"/>
      <c r="K31" s="62"/>
      <c r="L31" s="62"/>
      <c r="M31" s="130"/>
      <c r="N31" s="130"/>
    </row>
    <row r="32" spans="2:14" ht="18.600000000000001" customHeight="1" x14ac:dyDescent="0.3">
      <c r="B32" s="366" t="s">
        <v>330</v>
      </c>
      <c r="C32" s="361"/>
      <c r="D32" s="361"/>
      <c r="E32" s="361"/>
      <c r="F32" s="361"/>
      <c r="G32" s="361"/>
      <c r="H32" s="361"/>
      <c r="I32" s="367"/>
      <c r="L32" s="130"/>
      <c r="M32" s="130"/>
      <c r="N32" s="130"/>
    </row>
    <row r="33" spans="2:20" ht="18.600000000000001" customHeight="1" x14ac:dyDescent="0.3">
      <c r="B33" s="366" t="s">
        <v>331</v>
      </c>
      <c r="C33" s="361"/>
      <c r="D33" s="361"/>
      <c r="E33" s="361"/>
      <c r="F33" s="361"/>
      <c r="G33" s="361"/>
      <c r="H33" s="361"/>
      <c r="I33" s="367"/>
    </row>
    <row r="34" spans="2:20" ht="18.600000000000001" customHeight="1" x14ac:dyDescent="0.3">
      <c r="B34" s="366" t="s">
        <v>332</v>
      </c>
      <c r="C34" s="361"/>
      <c r="D34" s="361"/>
      <c r="E34" s="361"/>
      <c r="F34" s="361"/>
      <c r="G34" s="361"/>
      <c r="H34" s="361"/>
      <c r="I34" s="367"/>
    </row>
    <row r="35" spans="2:20" ht="19.8" customHeight="1" x14ac:dyDescent="0.4">
      <c r="B35" s="368" t="s">
        <v>333</v>
      </c>
      <c r="C35" s="362"/>
      <c r="D35" s="362"/>
      <c r="E35" s="362"/>
      <c r="F35" s="362"/>
      <c r="G35" s="362"/>
      <c r="H35" s="362"/>
      <c r="I35" s="369"/>
    </row>
    <row r="36" spans="2:20" ht="18.600000000000001" customHeight="1" x14ac:dyDescent="0.3">
      <c r="B36" s="366" t="s">
        <v>334</v>
      </c>
      <c r="C36" s="361"/>
      <c r="D36" s="361"/>
      <c r="E36" s="361"/>
      <c r="F36" s="361"/>
      <c r="G36" s="361"/>
      <c r="H36" s="361"/>
      <c r="I36" s="367"/>
    </row>
    <row r="37" spans="2:20" ht="18.600000000000001" customHeight="1" x14ac:dyDescent="0.3">
      <c r="B37" s="366" t="s">
        <v>335</v>
      </c>
      <c r="C37" s="361"/>
      <c r="D37" s="361"/>
      <c r="E37" s="361"/>
      <c r="F37" s="361"/>
      <c r="G37" s="361"/>
      <c r="H37" s="361"/>
      <c r="I37" s="367"/>
    </row>
    <row r="38" spans="2:20" ht="18.600000000000001" customHeight="1" thickBot="1" x14ac:dyDescent="0.35">
      <c r="B38" s="370" t="s">
        <v>323</v>
      </c>
      <c r="C38" s="371"/>
      <c r="D38" s="371"/>
      <c r="E38" s="371"/>
      <c r="F38" s="371"/>
      <c r="G38" s="371"/>
      <c r="H38" s="371"/>
      <c r="I38" s="372"/>
    </row>
    <row r="40" spans="2:20" x14ac:dyDescent="0.3">
      <c r="B40" s="357" t="s">
        <v>312</v>
      </c>
      <c r="C40" s="357"/>
      <c r="D40" s="357"/>
      <c r="E40" s="357"/>
      <c r="F40" s="357"/>
      <c r="G40" s="357"/>
      <c r="H40" s="357"/>
      <c r="I40" s="357"/>
    </row>
    <row r="41" spans="2:20" ht="15" thickBot="1" x14ac:dyDescent="0.35"/>
    <row r="42" spans="2:20" ht="16.8" x14ac:dyDescent="0.3">
      <c r="B42" s="373" t="s">
        <v>336</v>
      </c>
      <c r="C42" s="374"/>
      <c r="D42" s="374"/>
      <c r="E42" s="374"/>
      <c r="F42" s="374"/>
      <c r="G42" s="374"/>
      <c r="H42" s="374"/>
      <c r="I42" s="375"/>
      <c r="K42" s="344"/>
      <c r="L42" s="344"/>
      <c r="M42" s="344"/>
      <c r="N42" s="344"/>
      <c r="O42" s="344"/>
      <c r="P42" s="344"/>
      <c r="Q42" s="344"/>
      <c r="R42" s="344"/>
      <c r="S42" s="344"/>
      <c r="T42" s="344"/>
    </row>
    <row r="43" spans="2:20" ht="16.8" x14ac:dyDescent="0.3">
      <c r="B43" s="376" t="s">
        <v>337</v>
      </c>
      <c r="C43" s="377"/>
      <c r="D43" s="377"/>
      <c r="E43" s="377"/>
      <c r="F43" s="377"/>
      <c r="G43" s="377"/>
      <c r="H43" s="377"/>
      <c r="I43" s="378"/>
      <c r="K43" s="344"/>
      <c r="L43" s="344"/>
      <c r="M43" s="344"/>
      <c r="N43" s="344"/>
      <c r="O43" s="344"/>
      <c r="P43" s="344"/>
      <c r="Q43" s="344"/>
      <c r="R43" s="344"/>
      <c r="S43" s="344"/>
      <c r="T43" s="344"/>
    </row>
    <row r="44" spans="2:20" ht="16.8" x14ac:dyDescent="0.3">
      <c r="B44" s="376" t="s">
        <v>338</v>
      </c>
      <c r="C44" s="377"/>
      <c r="D44" s="377"/>
      <c r="E44" s="377"/>
      <c r="F44" s="377"/>
      <c r="G44" s="377"/>
      <c r="H44" s="377"/>
      <c r="I44" s="378"/>
      <c r="K44" s="344"/>
      <c r="L44" s="344"/>
      <c r="M44" s="344"/>
      <c r="N44" s="344"/>
      <c r="O44" s="344"/>
      <c r="P44" s="344"/>
      <c r="Q44" s="344"/>
      <c r="R44" s="344"/>
      <c r="S44" s="344"/>
      <c r="T44" s="344"/>
    </row>
    <row r="45" spans="2:20" ht="16.8" x14ac:dyDescent="0.3">
      <c r="B45" s="376" t="s">
        <v>339</v>
      </c>
      <c r="C45" s="377"/>
      <c r="D45" s="377"/>
      <c r="E45" s="377"/>
      <c r="F45" s="377"/>
      <c r="G45" s="377"/>
      <c r="H45" s="377"/>
      <c r="I45" s="378"/>
      <c r="K45" s="344"/>
      <c r="L45" s="344"/>
      <c r="M45" s="344"/>
      <c r="N45" s="344"/>
      <c r="O45" s="344"/>
      <c r="P45" s="344"/>
      <c r="Q45" s="344"/>
      <c r="R45" s="344"/>
      <c r="S45" s="344"/>
      <c r="T45" s="344"/>
    </row>
    <row r="46" spans="2:20" ht="16.8" x14ac:dyDescent="0.3">
      <c r="B46" s="376" t="s">
        <v>340</v>
      </c>
      <c r="C46" s="377"/>
      <c r="D46" s="377"/>
      <c r="E46" s="377"/>
      <c r="F46" s="377"/>
      <c r="G46" s="377"/>
      <c r="H46" s="377"/>
      <c r="I46" s="378"/>
      <c r="K46" s="344"/>
      <c r="L46" s="344"/>
      <c r="M46" s="344"/>
      <c r="N46" s="344"/>
      <c r="O46" s="344"/>
      <c r="P46" s="344"/>
      <c r="Q46" s="344"/>
      <c r="R46" s="344"/>
      <c r="S46" s="344"/>
      <c r="T46" s="344"/>
    </row>
    <row r="47" spans="2:20" ht="16.8" x14ac:dyDescent="0.3">
      <c r="B47" s="376" t="s">
        <v>341</v>
      </c>
      <c r="C47" s="377"/>
      <c r="D47" s="377"/>
      <c r="E47" s="377"/>
      <c r="F47" s="377"/>
      <c r="G47" s="377"/>
      <c r="H47" s="377"/>
      <c r="I47" s="378"/>
    </row>
    <row r="48" spans="2:20" ht="17.399999999999999" thickBot="1" x14ac:dyDescent="0.35">
      <c r="B48" s="379" t="s">
        <v>342</v>
      </c>
      <c r="C48" s="380"/>
      <c r="D48" s="380"/>
      <c r="E48" s="380"/>
      <c r="F48" s="380"/>
      <c r="G48" s="380"/>
      <c r="H48" s="380"/>
      <c r="I48" s="381"/>
    </row>
    <row r="50" spans="2:9" x14ac:dyDescent="0.3">
      <c r="B50" s="357" t="s">
        <v>324</v>
      </c>
      <c r="C50" s="357"/>
      <c r="D50" s="357"/>
      <c r="E50" s="357"/>
      <c r="F50" s="357"/>
      <c r="G50" s="357"/>
      <c r="H50" s="357"/>
      <c r="I50" s="357"/>
    </row>
    <row r="51" spans="2:9" ht="15" thickBot="1" x14ac:dyDescent="0.35"/>
    <row r="52" spans="2:9" ht="15.6" customHeight="1" x14ac:dyDescent="0.3">
      <c r="B52" s="232"/>
      <c r="C52" s="233"/>
      <c r="D52" s="233"/>
      <c r="E52" s="233"/>
      <c r="F52" s="233"/>
      <c r="G52" s="233"/>
      <c r="H52" s="233"/>
      <c r="I52" s="234"/>
    </row>
    <row r="53" spans="2:9" ht="15.6" customHeight="1" x14ac:dyDescent="0.3">
      <c r="B53" s="319"/>
      <c r="C53" s="215"/>
      <c r="D53" s="215"/>
      <c r="E53" s="215"/>
      <c r="F53" s="215"/>
      <c r="G53" s="215"/>
      <c r="H53" s="215"/>
      <c r="I53" s="320"/>
    </row>
    <row r="54" spans="2:9" x14ac:dyDescent="0.3">
      <c r="B54" s="319"/>
      <c r="C54" s="215"/>
      <c r="D54" s="215"/>
      <c r="E54" s="215"/>
      <c r="F54" s="215"/>
      <c r="G54" s="215"/>
      <c r="H54" s="215"/>
      <c r="I54" s="320"/>
    </row>
    <row r="55" spans="2:9" x14ac:dyDescent="0.3">
      <c r="B55" s="319"/>
      <c r="C55" s="215"/>
      <c r="D55" s="215"/>
      <c r="E55" s="215"/>
      <c r="F55" s="215"/>
      <c r="G55" s="215"/>
      <c r="H55" s="215"/>
      <c r="I55" s="320"/>
    </row>
    <row r="56" spans="2:9" x14ac:dyDescent="0.3">
      <c r="B56" s="319"/>
      <c r="C56" s="215"/>
      <c r="D56" s="215"/>
      <c r="E56" s="215"/>
      <c r="F56" s="215"/>
      <c r="G56" s="215"/>
      <c r="H56" s="215"/>
      <c r="I56" s="320"/>
    </row>
    <row r="57" spans="2:9" x14ac:dyDescent="0.3">
      <c r="B57" s="319"/>
      <c r="C57" s="215"/>
      <c r="D57" s="215"/>
      <c r="E57" s="215"/>
      <c r="F57" s="215"/>
      <c r="G57" s="215"/>
      <c r="H57" s="215"/>
      <c r="I57" s="320"/>
    </row>
    <row r="58" spans="2:9" ht="15" thickBot="1" x14ac:dyDescent="0.35">
      <c r="B58" s="321"/>
      <c r="C58" s="322"/>
      <c r="D58" s="322"/>
      <c r="E58" s="322"/>
      <c r="F58" s="322"/>
      <c r="G58" s="322"/>
      <c r="H58" s="322"/>
      <c r="I58" s="323"/>
    </row>
    <row r="61" spans="2:9" x14ac:dyDescent="0.3">
      <c r="B61" s="312" t="s">
        <v>325</v>
      </c>
      <c r="C61" s="313"/>
      <c r="D61" s="313"/>
      <c r="E61" s="313"/>
      <c r="F61" s="313"/>
      <c r="G61" s="313"/>
      <c r="H61" s="313"/>
      <c r="I61" s="314"/>
    </row>
    <row r="62" spans="2:9" ht="15" thickBot="1" x14ac:dyDescent="0.35"/>
    <row r="63" spans="2:9" x14ac:dyDescent="0.3">
      <c r="B63" s="232"/>
      <c r="C63" s="233"/>
      <c r="D63" s="233"/>
      <c r="E63" s="233"/>
      <c r="F63" s="233"/>
      <c r="G63" s="233"/>
      <c r="H63" s="233"/>
      <c r="I63" s="234"/>
    </row>
    <row r="64" spans="2:9" ht="15" thickBot="1" x14ac:dyDescent="0.35">
      <c r="B64" s="321"/>
      <c r="C64" s="322"/>
      <c r="D64" s="322"/>
      <c r="E64" s="322"/>
      <c r="F64" s="322"/>
      <c r="G64" s="322"/>
      <c r="H64" s="322"/>
      <c r="I64" s="323"/>
    </row>
    <row r="66" spans="2:13" ht="15" thickBot="1" x14ac:dyDescent="0.35"/>
    <row r="67" spans="2:13" ht="15" thickBot="1" x14ac:dyDescent="0.35">
      <c r="B67" s="334" t="s">
        <v>314</v>
      </c>
      <c r="C67" s="335"/>
      <c r="D67" s="335"/>
      <c r="E67" s="335"/>
      <c r="F67" s="335"/>
      <c r="G67" s="335"/>
      <c r="H67" s="335"/>
      <c r="I67" s="335"/>
      <c r="J67" s="335"/>
      <c r="K67" s="335"/>
      <c r="L67" s="335"/>
      <c r="M67" s="336"/>
    </row>
    <row r="69" spans="2:13" x14ac:dyDescent="0.3">
      <c r="B69" s="331" t="s">
        <v>288</v>
      </c>
      <c r="E69" s="240" t="s">
        <v>315</v>
      </c>
      <c r="F69" s="240" t="s">
        <v>316</v>
      </c>
      <c r="G69" s="240" t="s">
        <v>317</v>
      </c>
      <c r="H69" s="343" t="s">
        <v>281</v>
      </c>
      <c r="J69" s="338" t="s">
        <v>282</v>
      </c>
      <c r="K69" s="337" t="s">
        <v>319</v>
      </c>
      <c r="L69" s="340" t="s">
        <v>283</v>
      </c>
      <c r="M69" s="343" t="s">
        <v>320</v>
      </c>
    </row>
    <row r="70" spans="2:13" x14ac:dyDescent="0.3">
      <c r="B70" s="331" t="s">
        <v>295</v>
      </c>
      <c r="E70" s="240">
        <v>0</v>
      </c>
      <c r="F70" s="240">
        <v>9</v>
      </c>
      <c r="G70" s="240">
        <v>0</v>
      </c>
      <c r="H70" s="12">
        <f>F70-E70</f>
        <v>9</v>
      </c>
      <c r="I70" s="1" t="s">
        <v>318</v>
      </c>
      <c r="J70" s="339">
        <v>5</v>
      </c>
      <c r="K70" s="109">
        <v>9</v>
      </c>
      <c r="L70" s="382">
        <v>0.2</v>
      </c>
      <c r="M70" s="12">
        <f>K70-L70*G70</f>
        <v>9</v>
      </c>
    </row>
    <row r="71" spans="2:13" x14ac:dyDescent="0.3">
      <c r="B71" s="331" t="s">
        <v>296</v>
      </c>
      <c r="E71" s="240">
        <v>0</v>
      </c>
      <c r="F71" s="240">
        <v>16</v>
      </c>
      <c r="G71" s="240">
        <v>8</v>
      </c>
      <c r="H71" s="12">
        <f t="shared" ref="H71:H77" si="0">F71-E71</f>
        <v>16</v>
      </c>
      <c r="I71" s="1" t="s">
        <v>318</v>
      </c>
      <c r="J71" s="339">
        <v>9</v>
      </c>
      <c r="K71" s="109">
        <v>18</v>
      </c>
      <c r="L71" s="382">
        <v>0.25</v>
      </c>
      <c r="M71" s="12">
        <f>K71-L71*G71</f>
        <v>16</v>
      </c>
    </row>
    <row r="72" spans="2:13" x14ac:dyDescent="0.3">
      <c r="B72" s="331" t="s">
        <v>297</v>
      </c>
      <c r="E72" s="240">
        <v>0</v>
      </c>
      <c r="F72" s="240">
        <v>21</v>
      </c>
      <c r="G72" s="240">
        <v>0</v>
      </c>
      <c r="H72" s="12">
        <f t="shared" si="0"/>
        <v>21</v>
      </c>
      <c r="I72" s="1" t="s">
        <v>318</v>
      </c>
      <c r="J72" s="339">
        <v>11</v>
      </c>
      <c r="K72" s="109">
        <v>21</v>
      </c>
      <c r="L72" s="382">
        <v>0.15</v>
      </c>
      <c r="M72" s="12">
        <f t="shared" ref="M72:M77" si="1">K72-L72*G72</f>
        <v>21</v>
      </c>
    </row>
    <row r="73" spans="2:13" x14ac:dyDescent="0.3">
      <c r="B73" s="331" t="s">
        <v>343</v>
      </c>
      <c r="E73" s="332">
        <v>9</v>
      </c>
      <c r="F73" s="332">
        <v>16</v>
      </c>
      <c r="G73" s="240">
        <v>0</v>
      </c>
      <c r="H73" s="12">
        <f t="shared" si="0"/>
        <v>7</v>
      </c>
      <c r="I73" s="1" t="s">
        <v>318</v>
      </c>
      <c r="J73" s="339">
        <v>6</v>
      </c>
      <c r="K73" s="109">
        <v>7</v>
      </c>
      <c r="L73" s="382">
        <v>0.4</v>
      </c>
      <c r="M73" s="12">
        <f t="shared" si="1"/>
        <v>7</v>
      </c>
    </row>
    <row r="74" spans="2:13" x14ac:dyDescent="0.3">
      <c r="B74" s="331" t="s">
        <v>300</v>
      </c>
      <c r="E74" s="332">
        <v>16</v>
      </c>
      <c r="F74" s="332">
        <v>25</v>
      </c>
      <c r="G74" s="240">
        <v>9.9999999999999769</v>
      </c>
      <c r="H74" s="12">
        <f t="shared" si="0"/>
        <v>9</v>
      </c>
      <c r="I74" s="1" t="s">
        <v>318</v>
      </c>
      <c r="J74" s="339">
        <v>9</v>
      </c>
      <c r="K74" s="109">
        <v>12</v>
      </c>
      <c r="L74" s="382">
        <v>0.3</v>
      </c>
      <c r="M74" s="12">
        <f t="shared" si="1"/>
        <v>9.0000000000000071</v>
      </c>
    </row>
    <row r="75" spans="2:13" x14ac:dyDescent="0.3">
      <c r="B75" s="331" t="s">
        <v>344</v>
      </c>
      <c r="C75" s="60"/>
      <c r="E75" s="240">
        <v>16</v>
      </c>
      <c r="F75" s="240">
        <v>35</v>
      </c>
      <c r="G75" s="240">
        <v>0</v>
      </c>
      <c r="H75" s="12">
        <f t="shared" si="0"/>
        <v>19</v>
      </c>
      <c r="I75" s="1" t="s">
        <v>318</v>
      </c>
      <c r="J75" s="339">
        <v>12</v>
      </c>
      <c r="K75" s="109">
        <v>19</v>
      </c>
      <c r="L75" s="382">
        <v>0.12</v>
      </c>
      <c r="M75" s="12">
        <f t="shared" si="1"/>
        <v>19</v>
      </c>
    </row>
    <row r="76" spans="2:13" x14ac:dyDescent="0.3">
      <c r="B76" s="331" t="s">
        <v>302</v>
      </c>
      <c r="C76" s="60"/>
      <c r="E76" s="240">
        <v>25</v>
      </c>
      <c r="F76" s="240">
        <v>42</v>
      </c>
      <c r="G76" s="240">
        <v>15.000000000000021</v>
      </c>
      <c r="H76" s="12">
        <f t="shared" si="0"/>
        <v>17</v>
      </c>
      <c r="I76" s="1" t="s">
        <v>318</v>
      </c>
      <c r="J76" s="339">
        <v>7</v>
      </c>
      <c r="K76" s="389">
        <v>20</v>
      </c>
      <c r="L76" s="383">
        <v>0.2</v>
      </c>
      <c r="M76" s="12">
        <f t="shared" si="1"/>
        <v>16.999999999999996</v>
      </c>
    </row>
    <row r="77" spans="2:13" x14ac:dyDescent="0.3">
      <c r="B77" s="331" t="s">
        <v>304</v>
      </c>
      <c r="C77" s="60"/>
      <c r="D77" s="1"/>
      <c r="E77" s="240">
        <v>42</v>
      </c>
      <c r="F77" s="240">
        <v>42</v>
      </c>
      <c r="G77" s="332">
        <v>0</v>
      </c>
      <c r="H77" s="12">
        <f t="shared" si="0"/>
        <v>0</v>
      </c>
      <c r="I77" s="1" t="s">
        <v>318</v>
      </c>
      <c r="J77" s="339">
        <v>0</v>
      </c>
      <c r="K77" s="292">
        <v>0</v>
      </c>
      <c r="L77" s="383">
        <v>0</v>
      </c>
      <c r="M77" s="12">
        <f>K77-L77*G77</f>
        <v>0</v>
      </c>
    </row>
    <row r="79" spans="2:13" ht="15" thickBot="1" x14ac:dyDescent="0.35"/>
    <row r="80" spans="2:13" ht="15" thickBot="1" x14ac:dyDescent="0.35">
      <c r="H80" s="334" t="s">
        <v>346</v>
      </c>
      <c r="I80" s="335"/>
      <c r="J80" s="336"/>
      <c r="L80" s="384">
        <f>SUM(G70:G77)</f>
        <v>33</v>
      </c>
    </row>
    <row r="81" spans="2:12" ht="15" thickBot="1" x14ac:dyDescent="0.35"/>
    <row r="82" spans="2:12" ht="15" thickBot="1" x14ac:dyDescent="0.35">
      <c r="H82" s="334" t="s">
        <v>345</v>
      </c>
      <c r="I82" s="335"/>
      <c r="J82" s="336"/>
      <c r="L82" s="2">
        <f>F77</f>
        <v>42</v>
      </c>
    </row>
    <row r="84" spans="2:12" ht="15" thickBot="1" x14ac:dyDescent="0.35"/>
    <row r="85" spans="2:12" ht="15" thickBot="1" x14ac:dyDescent="0.35">
      <c r="B85" s="272" t="s">
        <v>285</v>
      </c>
      <c r="C85" s="273">
        <v>1</v>
      </c>
      <c r="D85" s="274">
        <v>2</v>
      </c>
      <c r="E85" s="274">
        <v>3</v>
      </c>
      <c r="F85" s="274">
        <v>4</v>
      </c>
      <c r="G85" s="275">
        <v>5</v>
      </c>
    </row>
    <row r="86" spans="2:12" x14ac:dyDescent="0.3">
      <c r="B86" s="257" t="s">
        <v>286</v>
      </c>
      <c r="C86" s="260">
        <v>0</v>
      </c>
      <c r="D86" s="261">
        <v>9</v>
      </c>
      <c r="E86" s="261">
        <v>16</v>
      </c>
      <c r="F86" s="261">
        <v>25</v>
      </c>
      <c r="G86" s="262">
        <v>42</v>
      </c>
    </row>
    <row r="87" spans="2:12" x14ac:dyDescent="0.3">
      <c r="B87" s="257"/>
      <c r="C87" s="263"/>
      <c r="D87" s="264"/>
      <c r="E87" s="264"/>
      <c r="F87" s="264"/>
      <c r="G87" s="265"/>
    </row>
    <row r="88" spans="2:12" x14ac:dyDescent="0.3">
      <c r="B88" s="257" t="s">
        <v>287</v>
      </c>
      <c r="C88" s="266">
        <v>0</v>
      </c>
      <c r="D88" s="267">
        <v>9</v>
      </c>
      <c r="E88" s="267">
        <v>16</v>
      </c>
      <c r="F88" s="267">
        <v>25</v>
      </c>
      <c r="G88" s="268">
        <v>42</v>
      </c>
    </row>
    <row r="89" spans="2:12" ht="15" thickBot="1" x14ac:dyDescent="0.35">
      <c r="B89" s="258"/>
      <c r="C89" s="269"/>
      <c r="D89" s="270"/>
      <c r="E89" s="270"/>
      <c r="F89" s="270"/>
      <c r="G89" s="271"/>
    </row>
  </sheetData>
  <mergeCells count="62">
    <mergeCell ref="B88:B89"/>
    <mergeCell ref="C88:C89"/>
    <mergeCell ref="D88:D89"/>
    <mergeCell ref="E88:E89"/>
    <mergeCell ref="F88:F89"/>
    <mergeCell ref="G88:G89"/>
    <mergeCell ref="B86:B87"/>
    <mergeCell ref="C86:C87"/>
    <mergeCell ref="D86:D87"/>
    <mergeCell ref="E86:E87"/>
    <mergeCell ref="F86:F87"/>
    <mergeCell ref="G86:G87"/>
    <mergeCell ref="B52:I58"/>
    <mergeCell ref="B61:I61"/>
    <mergeCell ref="B63:I64"/>
    <mergeCell ref="B67:M67"/>
    <mergeCell ref="H80:J80"/>
    <mergeCell ref="H82:J82"/>
    <mergeCell ref="B50:I50"/>
    <mergeCell ref="B45:I45"/>
    <mergeCell ref="B46:I46"/>
    <mergeCell ref="B47:I47"/>
    <mergeCell ref="B48:I48"/>
    <mergeCell ref="B21:I21"/>
    <mergeCell ref="B25:I25"/>
    <mergeCell ref="B23:I23"/>
    <mergeCell ref="B27:I27"/>
    <mergeCell ref="B29:I29"/>
    <mergeCell ref="B31:I31"/>
    <mergeCell ref="B32:I32"/>
    <mergeCell ref="B33:I33"/>
    <mergeCell ref="B34:I34"/>
    <mergeCell ref="B35:I35"/>
    <mergeCell ref="B36:I36"/>
    <mergeCell ref="B37:I37"/>
    <mergeCell ref="B43:I43"/>
    <mergeCell ref="B44:I44"/>
    <mergeCell ref="B38:I38"/>
    <mergeCell ref="B40:I40"/>
    <mergeCell ref="B42:I42"/>
    <mergeCell ref="D9:J9"/>
    <mergeCell ref="K9:K10"/>
    <mergeCell ref="K11:K13"/>
    <mergeCell ref="B18:B19"/>
    <mergeCell ref="C18:C19"/>
    <mergeCell ref="D18:D19"/>
    <mergeCell ref="E18:E19"/>
    <mergeCell ref="F18:F19"/>
    <mergeCell ref="G18:G19"/>
    <mergeCell ref="B11:B13"/>
    <mergeCell ref="B16:B17"/>
    <mergeCell ref="C16:C17"/>
    <mergeCell ref="D16:D17"/>
    <mergeCell ref="E16:E17"/>
    <mergeCell ref="F16:F17"/>
    <mergeCell ref="G16:G17"/>
    <mergeCell ref="B3:D3"/>
    <mergeCell ref="B4:D4"/>
    <mergeCell ref="B5:D5"/>
    <mergeCell ref="B7:N7"/>
    <mergeCell ref="B9:B10"/>
    <mergeCell ref="C9:C1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T98"/>
  <sheetViews>
    <sheetView zoomScale="85" zoomScaleNormal="85" workbookViewId="0">
      <selection activeCell="P90" sqref="P90"/>
    </sheetView>
  </sheetViews>
  <sheetFormatPr defaultRowHeight="14.4" x14ac:dyDescent="0.3"/>
  <cols>
    <col min="9" max="9" width="14.88671875" customWidth="1"/>
    <col min="16" max="16" width="11" bestFit="1" customWidth="1"/>
    <col min="20" max="20" width="14.77734375" customWidth="1"/>
    <col min="28" max="28" width="14.5546875" customWidth="1"/>
  </cols>
  <sheetData>
    <row r="2" spans="3:19" x14ac:dyDescent="0.3">
      <c r="C2" s="211" t="s">
        <v>0</v>
      </c>
      <c r="D2" s="212"/>
      <c r="E2" s="213"/>
    </row>
    <row r="3" spans="3:19" x14ac:dyDescent="0.3">
      <c r="C3" s="214">
        <v>351004</v>
      </c>
      <c r="D3" s="224"/>
      <c r="E3" s="216"/>
    </row>
    <row r="4" spans="3:19" x14ac:dyDescent="0.3">
      <c r="C4" s="217" t="s">
        <v>1</v>
      </c>
      <c r="D4" s="218"/>
      <c r="E4" s="219"/>
    </row>
    <row r="8" spans="3:19" x14ac:dyDescent="0.3">
      <c r="C8" s="220" t="s">
        <v>2</v>
      </c>
      <c r="D8" s="220"/>
      <c r="E8" s="220"/>
      <c r="F8" s="220"/>
      <c r="G8" s="220"/>
      <c r="H8" s="220"/>
      <c r="M8" s="220" t="s">
        <v>197</v>
      </c>
      <c r="N8" s="220"/>
      <c r="O8" s="220"/>
      <c r="P8" s="220"/>
      <c r="Q8" s="220"/>
      <c r="R8" s="220"/>
      <c r="S8" s="220"/>
    </row>
    <row r="9" spans="3:19" ht="15" thickBot="1" x14ac:dyDescent="0.35"/>
    <row r="10" spans="3:19" ht="15" customHeight="1" thickBot="1" x14ac:dyDescent="0.35">
      <c r="C10" s="221" t="s">
        <v>4</v>
      </c>
      <c r="D10" s="222"/>
      <c r="E10" s="222"/>
      <c r="F10" s="222"/>
      <c r="G10" s="222"/>
      <c r="H10" s="223"/>
      <c r="M10" s="221" t="s">
        <v>4</v>
      </c>
      <c r="N10" s="222"/>
      <c r="O10" s="222"/>
      <c r="P10" s="222"/>
      <c r="Q10" s="222"/>
      <c r="R10" s="222"/>
      <c r="S10" s="223"/>
    </row>
    <row r="11" spans="3:19" ht="15" thickBot="1" x14ac:dyDescent="0.35">
      <c r="C11" s="1"/>
      <c r="D11" s="1"/>
      <c r="E11" s="1"/>
      <c r="F11" s="1"/>
      <c r="G11" s="1"/>
    </row>
    <row r="12" spans="3:19" ht="15" thickBot="1" x14ac:dyDescent="0.35">
      <c r="C12" s="2" t="s">
        <v>3</v>
      </c>
      <c r="D12" s="3">
        <v>50</v>
      </c>
      <c r="E12" s="4">
        <v>150</v>
      </c>
      <c r="F12" s="4">
        <v>200</v>
      </c>
      <c r="G12" s="5">
        <v>150</v>
      </c>
      <c r="M12" s="2" t="s">
        <v>3</v>
      </c>
      <c r="N12" s="3">
        <v>50</v>
      </c>
      <c r="O12" s="101">
        <v>100</v>
      </c>
      <c r="P12" s="101">
        <v>50</v>
      </c>
      <c r="Q12" s="106">
        <v>100</v>
      </c>
      <c r="R12" s="5">
        <v>150</v>
      </c>
    </row>
    <row r="13" spans="3:19" x14ac:dyDescent="0.3">
      <c r="C13" s="6">
        <v>50</v>
      </c>
      <c r="D13" s="7">
        <v>4</v>
      </c>
      <c r="E13" s="8">
        <v>5</v>
      </c>
      <c r="F13" s="8">
        <v>6</v>
      </c>
      <c r="G13" s="9">
        <v>10</v>
      </c>
      <c r="M13" s="6">
        <v>50</v>
      </c>
      <c r="N13" s="7">
        <v>4</v>
      </c>
      <c r="O13" s="102">
        <v>5</v>
      </c>
      <c r="P13" s="102">
        <v>5</v>
      </c>
      <c r="Q13" s="108">
        <v>6</v>
      </c>
      <c r="R13" s="9">
        <v>10</v>
      </c>
    </row>
    <row r="14" spans="3:19" x14ac:dyDescent="0.3">
      <c r="C14" s="10">
        <v>100</v>
      </c>
      <c r="D14" s="11">
        <v>6</v>
      </c>
      <c r="E14" s="12">
        <v>3</v>
      </c>
      <c r="F14" s="12">
        <v>8</v>
      </c>
      <c r="G14" s="13">
        <v>4</v>
      </c>
      <c r="M14" s="10">
        <v>100</v>
      </c>
      <c r="N14" s="11">
        <v>6</v>
      </c>
      <c r="O14" s="103">
        <v>3</v>
      </c>
      <c r="P14" s="103">
        <v>3</v>
      </c>
      <c r="Q14" s="109">
        <v>8</v>
      </c>
      <c r="R14" s="13">
        <v>4</v>
      </c>
    </row>
    <row r="15" spans="3:19" x14ac:dyDescent="0.3">
      <c r="C15" s="10">
        <v>150</v>
      </c>
      <c r="D15" s="11">
        <v>5</v>
      </c>
      <c r="E15" s="12">
        <v>1</v>
      </c>
      <c r="F15" s="12">
        <v>3</v>
      </c>
      <c r="G15" s="13">
        <v>1</v>
      </c>
      <c r="M15" s="10">
        <v>150</v>
      </c>
      <c r="N15" s="11">
        <v>5</v>
      </c>
      <c r="O15" s="103">
        <v>1</v>
      </c>
      <c r="P15" s="103" t="s">
        <v>198</v>
      </c>
      <c r="Q15" s="109">
        <v>3</v>
      </c>
      <c r="R15" s="13">
        <v>1</v>
      </c>
    </row>
    <row r="16" spans="3:19" x14ac:dyDescent="0.3">
      <c r="C16" s="14">
        <v>150</v>
      </c>
      <c r="D16" s="15">
        <v>7</v>
      </c>
      <c r="E16" s="16">
        <v>2</v>
      </c>
      <c r="F16" s="16">
        <v>4</v>
      </c>
      <c r="G16" s="17">
        <v>2</v>
      </c>
      <c r="M16" s="107">
        <v>50</v>
      </c>
      <c r="N16" s="111">
        <v>7</v>
      </c>
      <c r="O16" s="104">
        <v>2</v>
      </c>
      <c r="P16" s="104">
        <v>2</v>
      </c>
      <c r="Q16" s="110">
        <v>4</v>
      </c>
      <c r="R16" s="17">
        <v>2</v>
      </c>
    </row>
    <row r="17" spans="3:19" ht="15" thickBot="1" x14ac:dyDescent="0.35">
      <c r="C17" s="18">
        <v>100</v>
      </c>
      <c r="D17" s="19">
        <v>0</v>
      </c>
      <c r="E17" s="20">
        <v>0</v>
      </c>
      <c r="F17" s="20">
        <v>0</v>
      </c>
      <c r="G17" s="21">
        <v>0</v>
      </c>
      <c r="M17" s="18">
        <v>100</v>
      </c>
      <c r="N17" s="19">
        <v>0</v>
      </c>
      <c r="O17" s="105">
        <v>0</v>
      </c>
      <c r="P17" s="105">
        <v>0</v>
      </c>
      <c r="Q17" s="20">
        <v>0</v>
      </c>
      <c r="R17" s="21">
        <v>0</v>
      </c>
    </row>
    <row r="18" spans="3:19" ht="15" thickBot="1" x14ac:dyDescent="0.35">
      <c r="C18" s="1"/>
      <c r="D18" s="1"/>
      <c r="E18" s="1"/>
      <c r="F18" s="1"/>
      <c r="G18" s="1"/>
    </row>
    <row r="19" spans="3:19" ht="15" thickBot="1" x14ac:dyDescent="0.35">
      <c r="C19" s="2" t="s">
        <v>3</v>
      </c>
      <c r="D19" s="3">
        <v>50</v>
      </c>
      <c r="E19" s="4">
        <v>150</v>
      </c>
      <c r="F19" s="4">
        <v>200</v>
      </c>
      <c r="G19" s="5">
        <v>150</v>
      </c>
      <c r="M19" s="112" t="s">
        <v>3</v>
      </c>
      <c r="N19" s="113">
        <v>50</v>
      </c>
      <c r="O19" s="114">
        <v>100</v>
      </c>
      <c r="P19" s="114">
        <v>50</v>
      </c>
      <c r="Q19" s="114">
        <v>100</v>
      </c>
      <c r="R19" s="115">
        <v>150</v>
      </c>
    </row>
    <row r="20" spans="3:19" ht="29.4" customHeight="1" x14ac:dyDescent="0.3">
      <c r="C20" s="6">
        <v>50</v>
      </c>
      <c r="D20" s="57" t="s">
        <v>18</v>
      </c>
      <c r="E20" s="35">
        <v>5</v>
      </c>
      <c r="F20" s="43" t="s">
        <v>19</v>
      </c>
      <c r="G20" s="26">
        <v>10</v>
      </c>
      <c r="M20" s="116">
        <v>50</v>
      </c>
      <c r="N20" s="57" t="s">
        <v>15</v>
      </c>
      <c r="O20" s="43" t="s">
        <v>204</v>
      </c>
      <c r="P20" s="35">
        <v>5</v>
      </c>
      <c r="Q20" s="43" t="s">
        <v>205</v>
      </c>
      <c r="R20" s="26">
        <v>10</v>
      </c>
    </row>
    <row r="21" spans="3:19" ht="29.4" customHeight="1" x14ac:dyDescent="0.3">
      <c r="C21" s="10">
        <v>100</v>
      </c>
      <c r="D21" s="31">
        <v>6</v>
      </c>
      <c r="E21" s="32">
        <v>3</v>
      </c>
      <c r="F21" s="42" t="s">
        <v>16</v>
      </c>
      <c r="G21" s="27">
        <v>4</v>
      </c>
      <c r="M21" s="117">
        <v>100</v>
      </c>
      <c r="N21" s="31">
        <v>6</v>
      </c>
      <c r="O21" s="42" t="s">
        <v>203</v>
      </c>
      <c r="P21" s="42" t="s">
        <v>202</v>
      </c>
      <c r="Q21" s="32">
        <v>8</v>
      </c>
      <c r="R21" s="27">
        <v>4</v>
      </c>
    </row>
    <row r="22" spans="3:19" ht="28.8" customHeight="1" x14ac:dyDescent="0.3">
      <c r="C22" s="10">
        <v>150</v>
      </c>
      <c r="D22" s="31">
        <v>5</v>
      </c>
      <c r="E22" s="42" t="s">
        <v>14</v>
      </c>
      <c r="F22" s="32">
        <v>3</v>
      </c>
      <c r="G22" s="30" t="s">
        <v>5</v>
      </c>
      <c r="M22" s="117">
        <v>150</v>
      </c>
      <c r="N22" s="31">
        <v>5</v>
      </c>
      <c r="O22" s="42" t="s">
        <v>200</v>
      </c>
      <c r="P22" s="32" t="s">
        <v>198</v>
      </c>
      <c r="Q22" s="32">
        <v>3</v>
      </c>
      <c r="R22" s="30" t="s">
        <v>199</v>
      </c>
    </row>
    <row r="23" spans="3:19" ht="30" customHeight="1" x14ac:dyDescent="0.3">
      <c r="C23" s="14">
        <v>150</v>
      </c>
      <c r="D23" s="33">
        <v>7</v>
      </c>
      <c r="E23" s="45" t="s">
        <v>6</v>
      </c>
      <c r="F23" s="45" t="s">
        <v>17</v>
      </c>
      <c r="G23" s="28">
        <v>2</v>
      </c>
      <c r="M23" s="118">
        <v>50</v>
      </c>
      <c r="N23" s="33">
        <v>7</v>
      </c>
      <c r="O23" s="45" t="s">
        <v>201</v>
      </c>
      <c r="P23" s="34">
        <v>2</v>
      </c>
      <c r="Q23" s="34">
        <v>4</v>
      </c>
      <c r="R23" s="28">
        <v>2</v>
      </c>
    </row>
    <row r="24" spans="3:19" ht="30" customHeight="1" thickBot="1" x14ac:dyDescent="0.35">
      <c r="C24" s="18">
        <v>100</v>
      </c>
      <c r="D24" s="37">
        <v>0</v>
      </c>
      <c r="E24" s="36">
        <v>0</v>
      </c>
      <c r="F24" s="44" t="s">
        <v>20</v>
      </c>
      <c r="G24" s="29">
        <v>0</v>
      </c>
      <c r="M24" s="119">
        <v>100</v>
      </c>
      <c r="N24" s="37">
        <v>0</v>
      </c>
      <c r="O24" s="36">
        <v>0</v>
      </c>
      <c r="P24" s="36">
        <v>0</v>
      </c>
      <c r="Q24" s="44" t="s">
        <v>206</v>
      </c>
      <c r="R24" s="29">
        <v>0</v>
      </c>
    </row>
    <row r="25" spans="3:19" ht="15" thickBot="1" x14ac:dyDescent="0.35"/>
    <row r="26" spans="3:19" ht="15" thickBot="1" x14ac:dyDescent="0.35">
      <c r="C26" s="225" t="s">
        <v>7</v>
      </c>
      <c r="D26" s="226"/>
      <c r="E26" s="226"/>
      <c r="F26" s="226"/>
      <c r="G26" s="226"/>
      <c r="H26" s="227"/>
      <c r="M26" s="225" t="s">
        <v>7</v>
      </c>
      <c r="N26" s="226"/>
      <c r="O26" s="226"/>
      <c r="P26" s="226"/>
      <c r="Q26" s="226"/>
      <c r="R26" s="227"/>
    </row>
    <row r="28" spans="3:19" x14ac:dyDescent="0.3">
      <c r="C28" s="229" t="s">
        <v>207</v>
      </c>
      <c r="D28" s="230"/>
      <c r="E28" s="230"/>
      <c r="F28" s="230"/>
      <c r="G28" s="230"/>
      <c r="H28" s="231"/>
      <c r="I28" s="63"/>
      <c r="M28" s="229" t="s">
        <v>207</v>
      </c>
      <c r="N28" s="230"/>
      <c r="O28" s="230"/>
      <c r="P28" s="230"/>
      <c r="Q28" s="230"/>
      <c r="R28" s="231"/>
    </row>
    <row r="29" spans="3:19" ht="15" thickBot="1" x14ac:dyDescent="0.35">
      <c r="I29" s="63"/>
    </row>
    <row r="30" spans="3:19" ht="15" thickBot="1" x14ac:dyDescent="0.35">
      <c r="C30" s="2" t="s">
        <v>3</v>
      </c>
      <c r="D30" s="3">
        <v>50</v>
      </c>
      <c r="E30" s="4">
        <v>150</v>
      </c>
      <c r="F30" s="4">
        <v>200</v>
      </c>
      <c r="G30" s="5">
        <v>150</v>
      </c>
      <c r="I30" s="63"/>
      <c r="M30" s="112" t="s">
        <v>3</v>
      </c>
      <c r="N30" s="113">
        <v>50</v>
      </c>
      <c r="O30" s="114">
        <v>100</v>
      </c>
      <c r="P30" s="114">
        <v>50</v>
      </c>
      <c r="Q30" s="114">
        <v>100</v>
      </c>
      <c r="R30" s="115">
        <v>150</v>
      </c>
    </row>
    <row r="31" spans="3:19" ht="28.8" x14ac:dyDescent="0.3">
      <c r="C31" s="6">
        <v>50</v>
      </c>
      <c r="D31" s="57" t="s">
        <v>18</v>
      </c>
      <c r="E31" s="35">
        <v>5</v>
      </c>
      <c r="F31" s="43" t="s">
        <v>19</v>
      </c>
      <c r="G31" s="26">
        <v>10</v>
      </c>
      <c r="H31" s="39" t="s">
        <v>12</v>
      </c>
      <c r="I31" s="63"/>
      <c r="M31" s="116">
        <v>50</v>
      </c>
      <c r="N31" s="57" t="s">
        <v>15</v>
      </c>
      <c r="O31" s="43" t="s">
        <v>204</v>
      </c>
      <c r="P31" s="35">
        <v>5</v>
      </c>
      <c r="Q31" s="43" t="s">
        <v>205</v>
      </c>
      <c r="R31" s="26">
        <v>10</v>
      </c>
      <c r="S31" s="39" t="s">
        <v>208</v>
      </c>
    </row>
    <row r="32" spans="3:19" ht="28.8" x14ac:dyDescent="0.3">
      <c r="C32" s="10">
        <v>100</v>
      </c>
      <c r="D32" s="31">
        <v>6</v>
      </c>
      <c r="E32" s="32">
        <v>3</v>
      </c>
      <c r="F32" s="42" t="s">
        <v>16</v>
      </c>
      <c r="G32" s="27">
        <v>4</v>
      </c>
      <c r="H32" s="10" t="s">
        <v>9</v>
      </c>
      <c r="I32" s="63"/>
      <c r="M32" s="117">
        <v>100</v>
      </c>
      <c r="N32" s="31">
        <v>6</v>
      </c>
      <c r="O32" s="42" t="s">
        <v>203</v>
      </c>
      <c r="P32" s="42" t="s">
        <v>202</v>
      </c>
      <c r="Q32" s="32">
        <v>8</v>
      </c>
      <c r="R32" s="27">
        <v>4</v>
      </c>
      <c r="S32" s="10" t="s">
        <v>211</v>
      </c>
    </row>
    <row r="33" spans="3:19" ht="28.8" x14ac:dyDescent="0.3">
      <c r="C33" s="10">
        <v>150</v>
      </c>
      <c r="D33" s="31">
        <v>5</v>
      </c>
      <c r="E33" s="42" t="s">
        <v>14</v>
      </c>
      <c r="F33" s="32">
        <v>3</v>
      </c>
      <c r="G33" s="30" t="s">
        <v>5</v>
      </c>
      <c r="H33" s="10" t="s">
        <v>23</v>
      </c>
      <c r="I33" s="63"/>
      <c r="M33" s="117">
        <v>150</v>
      </c>
      <c r="N33" s="31">
        <v>5</v>
      </c>
      <c r="O33" s="42" t="s">
        <v>200</v>
      </c>
      <c r="P33" s="32" t="s">
        <v>198</v>
      </c>
      <c r="Q33" s="32">
        <v>3</v>
      </c>
      <c r="R33" s="30" t="s">
        <v>199</v>
      </c>
      <c r="S33" s="10" t="s">
        <v>212</v>
      </c>
    </row>
    <row r="34" spans="3:19" ht="28.8" x14ac:dyDescent="0.3">
      <c r="C34" s="14">
        <v>150</v>
      </c>
      <c r="D34" s="33">
        <v>7</v>
      </c>
      <c r="E34" s="45" t="s">
        <v>6</v>
      </c>
      <c r="F34" s="45" t="s">
        <v>17</v>
      </c>
      <c r="G34" s="28">
        <v>2</v>
      </c>
      <c r="H34" s="10" t="s">
        <v>21</v>
      </c>
      <c r="I34" s="63"/>
      <c r="M34" s="118">
        <v>50</v>
      </c>
      <c r="N34" s="33">
        <v>7</v>
      </c>
      <c r="O34" s="45" t="s">
        <v>201</v>
      </c>
      <c r="P34" s="34">
        <v>2</v>
      </c>
      <c r="Q34" s="34">
        <v>4</v>
      </c>
      <c r="R34" s="28">
        <v>2</v>
      </c>
      <c r="S34" s="10" t="s">
        <v>213</v>
      </c>
    </row>
    <row r="35" spans="3:19" ht="29.4" thickBot="1" x14ac:dyDescent="0.35">
      <c r="C35" s="14">
        <v>100</v>
      </c>
      <c r="D35" s="37">
        <v>0</v>
      </c>
      <c r="E35" s="36">
        <v>0</v>
      </c>
      <c r="F35" s="44" t="s">
        <v>20</v>
      </c>
      <c r="G35" s="29">
        <v>0</v>
      </c>
      <c r="H35" s="18" t="s">
        <v>13</v>
      </c>
      <c r="I35" s="63"/>
      <c r="M35" s="118">
        <v>100</v>
      </c>
      <c r="N35" s="33">
        <v>0</v>
      </c>
      <c r="O35" s="34">
        <v>0</v>
      </c>
      <c r="P35" s="34">
        <v>0</v>
      </c>
      <c r="Q35" s="45" t="s">
        <v>206</v>
      </c>
      <c r="R35" s="28">
        <v>0</v>
      </c>
      <c r="S35" s="18" t="s">
        <v>214</v>
      </c>
    </row>
    <row r="36" spans="3:19" ht="27.6" customHeight="1" thickBot="1" x14ac:dyDescent="0.35">
      <c r="C36" s="41"/>
      <c r="D36" s="4" t="s">
        <v>10</v>
      </c>
      <c r="E36" s="4" t="s">
        <v>22</v>
      </c>
      <c r="F36" s="4" t="s">
        <v>11</v>
      </c>
      <c r="G36" s="5" t="s">
        <v>24</v>
      </c>
      <c r="H36" s="40" t="s">
        <v>8</v>
      </c>
      <c r="I36" s="63"/>
      <c r="M36" s="41"/>
      <c r="N36" s="4" t="s">
        <v>209</v>
      </c>
      <c r="O36" s="4" t="s">
        <v>210</v>
      </c>
      <c r="P36" s="4" t="s">
        <v>31</v>
      </c>
      <c r="Q36" s="4" t="s">
        <v>24</v>
      </c>
      <c r="R36" s="5" t="s">
        <v>215</v>
      </c>
      <c r="S36" s="40" t="s">
        <v>8</v>
      </c>
    </row>
    <row r="37" spans="3:19" ht="15" thickBot="1" x14ac:dyDescent="0.35"/>
    <row r="38" spans="3:19" ht="15" thickBot="1" x14ac:dyDescent="0.35">
      <c r="C38" s="2" t="s">
        <v>3</v>
      </c>
      <c r="D38" s="3">
        <v>50</v>
      </c>
      <c r="E38" s="4">
        <v>150</v>
      </c>
      <c r="F38" s="4">
        <v>200</v>
      </c>
      <c r="G38" s="5">
        <v>150</v>
      </c>
      <c r="M38" s="112" t="s">
        <v>3</v>
      </c>
      <c r="N38" s="113">
        <v>50</v>
      </c>
      <c r="O38" s="114">
        <v>100</v>
      </c>
      <c r="P38" s="114">
        <v>50</v>
      </c>
      <c r="Q38" s="114">
        <v>100</v>
      </c>
      <c r="R38" s="115">
        <v>150</v>
      </c>
    </row>
    <row r="39" spans="3:19" ht="28.8" x14ac:dyDescent="0.3">
      <c r="C39" s="6">
        <v>50</v>
      </c>
      <c r="D39" s="57" t="s">
        <v>18</v>
      </c>
      <c r="E39" s="46">
        <v>1</v>
      </c>
      <c r="F39" s="43" t="s">
        <v>19</v>
      </c>
      <c r="G39" s="55">
        <v>6</v>
      </c>
      <c r="H39" s="39" t="s">
        <v>12</v>
      </c>
      <c r="M39" s="116">
        <v>50</v>
      </c>
      <c r="N39" s="57" t="s">
        <v>15</v>
      </c>
      <c r="O39" s="43" t="s">
        <v>204</v>
      </c>
      <c r="P39" s="46">
        <v>0</v>
      </c>
      <c r="Q39" s="43" t="s">
        <v>205</v>
      </c>
      <c r="R39" s="55">
        <v>5</v>
      </c>
      <c r="S39" s="39" t="s">
        <v>208</v>
      </c>
    </row>
    <row r="40" spans="3:19" ht="28.8" x14ac:dyDescent="0.3">
      <c r="C40" s="10">
        <v>100</v>
      </c>
      <c r="D40" s="48">
        <v>0</v>
      </c>
      <c r="E40" s="56">
        <v>-3</v>
      </c>
      <c r="F40" s="42" t="s">
        <v>16</v>
      </c>
      <c r="G40" s="54">
        <v>-2</v>
      </c>
      <c r="H40" s="10" t="s">
        <v>9</v>
      </c>
      <c r="M40" s="117">
        <v>100</v>
      </c>
      <c r="N40" s="48">
        <v>4</v>
      </c>
      <c r="O40" s="42" t="s">
        <v>203</v>
      </c>
      <c r="P40" s="42" t="s">
        <v>202</v>
      </c>
      <c r="Q40" s="47">
        <v>4</v>
      </c>
      <c r="R40" s="54">
        <v>1</v>
      </c>
      <c r="S40" s="10" t="s">
        <v>211</v>
      </c>
    </row>
    <row r="41" spans="3:19" ht="28.8" x14ac:dyDescent="0.3">
      <c r="C41" s="10">
        <v>150</v>
      </c>
      <c r="D41" s="48">
        <v>4</v>
      </c>
      <c r="E41" s="42" t="s">
        <v>14</v>
      </c>
      <c r="F41" s="47">
        <v>0</v>
      </c>
      <c r="G41" s="30" t="s">
        <v>5</v>
      </c>
      <c r="H41" s="10" t="s">
        <v>23</v>
      </c>
      <c r="M41" s="117">
        <v>150</v>
      </c>
      <c r="N41" s="48">
        <v>5</v>
      </c>
      <c r="O41" s="42" t="s">
        <v>200</v>
      </c>
      <c r="P41" s="47" t="s">
        <v>198</v>
      </c>
      <c r="Q41" s="47">
        <v>1</v>
      </c>
      <c r="R41" s="30" t="s">
        <v>199</v>
      </c>
      <c r="S41" s="10" t="s">
        <v>212</v>
      </c>
    </row>
    <row r="42" spans="3:19" ht="28.8" x14ac:dyDescent="0.3">
      <c r="C42" s="14">
        <v>150</v>
      </c>
      <c r="D42" s="49">
        <v>5</v>
      </c>
      <c r="E42" s="45" t="s">
        <v>6</v>
      </c>
      <c r="F42" s="45" t="s">
        <v>17</v>
      </c>
      <c r="G42" s="53">
        <v>0</v>
      </c>
      <c r="H42" s="10" t="s">
        <v>21</v>
      </c>
      <c r="M42" s="118">
        <v>50</v>
      </c>
      <c r="N42" s="49">
        <v>6</v>
      </c>
      <c r="O42" s="45" t="s">
        <v>201</v>
      </c>
      <c r="P42" s="52">
        <v>0</v>
      </c>
      <c r="Q42" s="52">
        <v>1</v>
      </c>
      <c r="R42" s="53">
        <v>0</v>
      </c>
      <c r="S42" s="10" t="s">
        <v>213</v>
      </c>
    </row>
    <row r="43" spans="3:19" ht="29.4" thickBot="1" x14ac:dyDescent="0.35">
      <c r="C43" s="14">
        <v>100</v>
      </c>
      <c r="D43" s="50">
        <v>2</v>
      </c>
      <c r="E43" s="51">
        <v>2</v>
      </c>
      <c r="F43" s="44" t="s">
        <v>20</v>
      </c>
      <c r="G43" s="58">
        <v>2</v>
      </c>
      <c r="H43" s="18" t="s">
        <v>13</v>
      </c>
      <c r="M43" s="118">
        <v>100</v>
      </c>
      <c r="N43" s="49">
        <v>2</v>
      </c>
      <c r="O43" s="52">
        <v>1</v>
      </c>
      <c r="P43" s="52">
        <v>1</v>
      </c>
      <c r="Q43" s="45" t="s">
        <v>206</v>
      </c>
      <c r="R43" s="53">
        <v>1</v>
      </c>
      <c r="S43" s="18" t="s">
        <v>214</v>
      </c>
    </row>
    <row r="44" spans="3:19" ht="29.4" thickBot="1" x14ac:dyDescent="0.35">
      <c r="C44" s="41"/>
      <c r="D44" s="4" t="s">
        <v>10</v>
      </c>
      <c r="E44" s="4" t="s">
        <v>22</v>
      </c>
      <c r="F44" s="4" t="s">
        <v>11</v>
      </c>
      <c r="G44" s="5" t="s">
        <v>24</v>
      </c>
      <c r="H44" s="40" t="s">
        <v>8</v>
      </c>
      <c r="M44" s="41"/>
      <c r="N44" s="4" t="s">
        <v>209</v>
      </c>
      <c r="O44" s="4" t="s">
        <v>210</v>
      </c>
      <c r="P44" s="4" t="s">
        <v>31</v>
      </c>
      <c r="Q44" s="4" t="s">
        <v>24</v>
      </c>
      <c r="R44" s="5" t="s">
        <v>216</v>
      </c>
      <c r="S44" s="40" t="s">
        <v>8</v>
      </c>
    </row>
    <row r="45" spans="3:19" ht="15" thickBot="1" x14ac:dyDescent="0.35"/>
    <row r="46" spans="3:19" ht="15" thickBot="1" x14ac:dyDescent="0.35">
      <c r="C46" s="2" t="s">
        <v>3</v>
      </c>
      <c r="D46" s="3">
        <v>50</v>
      </c>
      <c r="E46" s="4">
        <v>150</v>
      </c>
      <c r="F46" s="4">
        <v>200</v>
      </c>
      <c r="G46" s="5">
        <v>150</v>
      </c>
      <c r="H46" s="60"/>
      <c r="M46" s="112" t="s">
        <v>3</v>
      </c>
      <c r="N46" s="113">
        <v>50</v>
      </c>
      <c r="O46" s="114">
        <v>100</v>
      </c>
      <c r="P46" s="114">
        <v>50</v>
      </c>
      <c r="Q46" s="114">
        <v>100</v>
      </c>
      <c r="R46" s="115">
        <v>150</v>
      </c>
    </row>
    <row r="47" spans="3:19" ht="28.8" x14ac:dyDescent="0.3">
      <c r="C47" s="6">
        <v>50</v>
      </c>
      <c r="D47" s="57" t="s">
        <v>18</v>
      </c>
      <c r="E47" s="35">
        <v>5</v>
      </c>
      <c r="F47" s="43" t="s">
        <v>19</v>
      </c>
      <c r="G47" s="26">
        <v>10</v>
      </c>
      <c r="H47" s="62"/>
      <c r="M47" s="116">
        <v>50</v>
      </c>
      <c r="N47" s="57" t="s">
        <v>15</v>
      </c>
      <c r="O47" s="35">
        <v>5</v>
      </c>
      <c r="P47" s="35">
        <v>5</v>
      </c>
      <c r="Q47" s="35">
        <v>6</v>
      </c>
      <c r="R47" s="26">
        <v>10</v>
      </c>
    </row>
    <row r="48" spans="3:19" ht="28.8" x14ac:dyDescent="0.3">
      <c r="C48" s="10">
        <v>100</v>
      </c>
      <c r="D48" s="31">
        <v>6</v>
      </c>
      <c r="E48" s="42" t="s">
        <v>25</v>
      </c>
      <c r="F48" s="32">
        <v>8</v>
      </c>
      <c r="G48" s="27">
        <v>4</v>
      </c>
      <c r="H48" s="62"/>
      <c r="M48" s="117">
        <v>100</v>
      </c>
      <c r="N48" s="31">
        <v>6</v>
      </c>
      <c r="O48" s="42" t="s">
        <v>203</v>
      </c>
      <c r="P48" s="42" t="s">
        <v>202</v>
      </c>
      <c r="Q48" s="32">
        <v>8</v>
      </c>
      <c r="R48" s="27">
        <v>4</v>
      </c>
    </row>
    <row r="49" spans="3:18" ht="28.8" x14ac:dyDescent="0.3">
      <c r="C49" s="10">
        <v>150</v>
      </c>
      <c r="D49" s="31">
        <v>5</v>
      </c>
      <c r="E49" s="42" t="s">
        <v>14</v>
      </c>
      <c r="F49" s="32">
        <v>3</v>
      </c>
      <c r="G49" s="30" t="s">
        <v>5</v>
      </c>
      <c r="H49" s="62"/>
      <c r="M49" s="117">
        <v>150</v>
      </c>
      <c r="N49" s="31">
        <v>5</v>
      </c>
      <c r="O49" s="32">
        <v>1</v>
      </c>
      <c r="P49" s="32" t="s">
        <v>198</v>
      </c>
      <c r="Q49" s="32">
        <v>3</v>
      </c>
      <c r="R49" s="30" t="s">
        <v>199</v>
      </c>
    </row>
    <row r="50" spans="3:18" ht="28.8" x14ac:dyDescent="0.3">
      <c r="C50" s="14">
        <v>150</v>
      </c>
      <c r="D50" s="33">
        <v>7</v>
      </c>
      <c r="E50" s="45" t="s">
        <v>27</v>
      </c>
      <c r="F50" s="45" t="s">
        <v>26</v>
      </c>
      <c r="G50" s="28">
        <v>2</v>
      </c>
      <c r="H50" s="62"/>
      <c r="M50" s="118">
        <v>50</v>
      </c>
      <c r="N50" s="33">
        <v>7</v>
      </c>
      <c r="O50" s="45" t="s">
        <v>201</v>
      </c>
      <c r="P50" s="34">
        <v>2</v>
      </c>
      <c r="Q50" s="34">
        <v>4</v>
      </c>
      <c r="R50" s="28">
        <v>2</v>
      </c>
    </row>
    <row r="51" spans="3:18" ht="29.4" thickBot="1" x14ac:dyDescent="0.35">
      <c r="C51" s="18">
        <v>100</v>
      </c>
      <c r="D51" s="37">
        <v>0</v>
      </c>
      <c r="E51" s="36">
        <v>0</v>
      </c>
      <c r="F51" s="44" t="s">
        <v>20</v>
      </c>
      <c r="G51" s="29">
        <v>0</v>
      </c>
      <c r="H51" s="62"/>
      <c r="M51" s="119">
        <v>100</v>
      </c>
      <c r="N51" s="37">
        <v>0</v>
      </c>
      <c r="O51" s="36">
        <v>0</v>
      </c>
      <c r="P51" s="36">
        <v>0</v>
      </c>
      <c r="Q51" s="44" t="s">
        <v>206</v>
      </c>
      <c r="R51" s="29">
        <v>0</v>
      </c>
    </row>
    <row r="52" spans="3:18" ht="15" thickBot="1" x14ac:dyDescent="0.35">
      <c r="C52" s="59"/>
      <c r="D52" s="59"/>
      <c r="E52" s="59"/>
      <c r="F52" s="59"/>
      <c r="G52" s="59"/>
      <c r="H52" s="61"/>
    </row>
    <row r="53" spans="3:18" ht="15" thickBot="1" x14ac:dyDescent="0.35">
      <c r="C53" s="2" t="s">
        <v>3</v>
      </c>
      <c r="D53" s="3">
        <v>50</v>
      </c>
      <c r="E53" s="4">
        <v>150</v>
      </c>
      <c r="F53" s="4">
        <v>200</v>
      </c>
      <c r="G53" s="5">
        <v>150</v>
      </c>
    </row>
    <row r="54" spans="3:18" ht="28.8" x14ac:dyDescent="0.3">
      <c r="C54" s="6">
        <v>50</v>
      </c>
      <c r="D54" s="57" t="s">
        <v>18</v>
      </c>
      <c r="E54" s="35">
        <v>5</v>
      </c>
      <c r="F54" s="43" t="s">
        <v>19</v>
      </c>
      <c r="G54" s="26">
        <v>10</v>
      </c>
      <c r="H54" s="39" t="s">
        <v>33</v>
      </c>
    </row>
    <row r="55" spans="3:18" ht="28.8" x14ac:dyDescent="0.3">
      <c r="C55" s="10">
        <v>100</v>
      </c>
      <c r="D55" s="31">
        <v>6</v>
      </c>
      <c r="E55" s="42" t="s">
        <v>25</v>
      </c>
      <c r="F55" s="32">
        <v>8</v>
      </c>
      <c r="G55" s="27">
        <v>4</v>
      </c>
      <c r="H55" s="10" t="s">
        <v>9</v>
      </c>
    </row>
    <row r="56" spans="3:18" ht="28.8" x14ac:dyDescent="0.3">
      <c r="C56" s="10">
        <v>150</v>
      </c>
      <c r="D56" s="31">
        <v>5</v>
      </c>
      <c r="E56" s="42" t="s">
        <v>14</v>
      </c>
      <c r="F56" s="32">
        <v>3</v>
      </c>
      <c r="G56" s="30" t="s">
        <v>5</v>
      </c>
      <c r="H56" s="10" t="s">
        <v>29</v>
      </c>
    </row>
    <row r="57" spans="3:18" ht="28.8" x14ac:dyDescent="0.3">
      <c r="C57" s="14">
        <v>150</v>
      </c>
      <c r="D57" s="33">
        <v>7</v>
      </c>
      <c r="E57" s="45" t="s">
        <v>27</v>
      </c>
      <c r="F57" s="45" t="s">
        <v>26</v>
      </c>
      <c r="G57" s="28">
        <v>2</v>
      </c>
      <c r="H57" s="10" t="s">
        <v>30</v>
      </c>
    </row>
    <row r="58" spans="3:18" ht="29.4" thickBot="1" x14ac:dyDescent="0.35">
      <c r="C58" s="14">
        <v>100</v>
      </c>
      <c r="D58" s="37">
        <v>0</v>
      </c>
      <c r="E58" s="36">
        <v>0</v>
      </c>
      <c r="F58" s="44" t="s">
        <v>20</v>
      </c>
      <c r="G58" s="29">
        <v>0</v>
      </c>
      <c r="H58" s="18" t="s">
        <v>32</v>
      </c>
    </row>
    <row r="59" spans="3:18" ht="29.4" thickBot="1" x14ac:dyDescent="0.35">
      <c r="C59" s="41"/>
      <c r="D59" s="4" t="s">
        <v>34</v>
      </c>
      <c r="E59" s="4" t="s">
        <v>28</v>
      </c>
      <c r="F59" s="4" t="s">
        <v>31</v>
      </c>
      <c r="G59" s="5" t="s">
        <v>35</v>
      </c>
      <c r="H59" s="40" t="s">
        <v>8</v>
      </c>
    </row>
    <row r="60" spans="3:18" ht="15" thickBot="1" x14ac:dyDescent="0.35"/>
    <row r="61" spans="3:18" ht="15" thickBot="1" x14ac:dyDescent="0.35">
      <c r="C61" s="2" t="s">
        <v>3</v>
      </c>
      <c r="D61" s="3">
        <v>50</v>
      </c>
      <c r="E61" s="4">
        <v>150</v>
      </c>
      <c r="F61" s="4">
        <v>200</v>
      </c>
      <c r="G61" s="5">
        <v>150</v>
      </c>
    </row>
    <row r="62" spans="3:18" ht="28.8" x14ac:dyDescent="0.3">
      <c r="C62" s="6">
        <v>50</v>
      </c>
      <c r="D62" s="57" t="s">
        <v>18</v>
      </c>
      <c r="E62" s="46">
        <v>1</v>
      </c>
      <c r="F62" s="43" t="s">
        <v>19</v>
      </c>
      <c r="G62" s="55">
        <v>6</v>
      </c>
      <c r="H62" s="39" t="s">
        <v>33</v>
      </c>
    </row>
    <row r="63" spans="3:18" ht="28.8" x14ac:dyDescent="0.3">
      <c r="C63" s="10">
        <v>100</v>
      </c>
      <c r="D63" s="48">
        <v>3</v>
      </c>
      <c r="E63" s="42" t="s">
        <v>25</v>
      </c>
      <c r="F63" s="47">
        <v>3</v>
      </c>
      <c r="G63" s="54">
        <v>1</v>
      </c>
      <c r="H63" s="10" t="s">
        <v>9</v>
      </c>
    </row>
    <row r="64" spans="3:18" ht="28.8" x14ac:dyDescent="0.3">
      <c r="C64" s="10">
        <v>150</v>
      </c>
      <c r="D64" s="48">
        <v>4</v>
      </c>
      <c r="E64" s="42" t="s">
        <v>14</v>
      </c>
      <c r="F64" s="47">
        <v>0</v>
      </c>
      <c r="G64" s="30" t="s">
        <v>5</v>
      </c>
      <c r="H64" s="10" t="s">
        <v>29</v>
      </c>
    </row>
    <row r="65" spans="3:19" ht="28.8" x14ac:dyDescent="0.3">
      <c r="C65" s="14">
        <v>150</v>
      </c>
      <c r="D65" s="49">
        <v>5</v>
      </c>
      <c r="E65" s="45" t="s">
        <v>27</v>
      </c>
      <c r="F65" s="45" t="s">
        <v>26</v>
      </c>
      <c r="G65" s="53">
        <v>0</v>
      </c>
      <c r="H65" s="10" t="s">
        <v>30</v>
      </c>
    </row>
    <row r="66" spans="3:19" ht="29.4" thickBot="1" x14ac:dyDescent="0.35">
      <c r="C66" s="14">
        <v>100</v>
      </c>
      <c r="D66" s="50">
        <v>2</v>
      </c>
      <c r="E66" s="51">
        <v>2</v>
      </c>
      <c r="F66" s="44" t="s">
        <v>20</v>
      </c>
      <c r="G66" s="58">
        <v>2</v>
      </c>
      <c r="H66" s="18" t="s">
        <v>32</v>
      </c>
    </row>
    <row r="67" spans="3:19" ht="29.4" thickBot="1" x14ac:dyDescent="0.35">
      <c r="C67" s="41"/>
      <c r="D67" s="4" t="s">
        <v>34</v>
      </c>
      <c r="E67" s="4" t="s">
        <v>28</v>
      </c>
      <c r="F67" s="4" t="s">
        <v>31</v>
      </c>
      <c r="G67" s="5" t="s">
        <v>35</v>
      </c>
      <c r="H67" s="40" t="s">
        <v>8</v>
      </c>
    </row>
    <row r="69" spans="3:19" x14ac:dyDescent="0.3">
      <c r="C69" s="208" t="s">
        <v>36</v>
      </c>
      <c r="D69" s="209"/>
      <c r="E69" s="209"/>
      <c r="F69" s="209"/>
      <c r="G69" s="209"/>
      <c r="H69" s="210"/>
    </row>
    <row r="70" spans="3:19" ht="15" thickBot="1" x14ac:dyDescent="0.35"/>
    <row r="71" spans="3:19" ht="15" thickBot="1" x14ac:dyDescent="0.35">
      <c r="C71" s="2" t="s">
        <v>3</v>
      </c>
      <c r="D71" s="3">
        <v>50</v>
      </c>
      <c r="E71" s="4">
        <v>150</v>
      </c>
      <c r="F71" s="4">
        <v>200</v>
      </c>
      <c r="G71" s="5">
        <v>150</v>
      </c>
    </row>
    <row r="72" spans="3:19" ht="28.8" x14ac:dyDescent="0.3">
      <c r="C72" s="6">
        <v>50</v>
      </c>
      <c r="D72" s="57" t="s">
        <v>18</v>
      </c>
      <c r="E72" s="35">
        <v>5</v>
      </c>
      <c r="F72" s="35">
        <v>6</v>
      </c>
      <c r="G72" s="26">
        <v>10</v>
      </c>
    </row>
    <row r="73" spans="3:19" ht="28.8" x14ac:dyDescent="0.3">
      <c r="C73" s="10">
        <v>100</v>
      </c>
      <c r="D73" s="31">
        <v>6</v>
      </c>
      <c r="E73" s="42" t="s">
        <v>25</v>
      </c>
      <c r="F73" s="32">
        <v>8</v>
      </c>
      <c r="G73" s="27">
        <v>4</v>
      </c>
    </row>
    <row r="74" spans="3:19" ht="28.8" x14ac:dyDescent="0.3">
      <c r="C74" s="10">
        <v>150</v>
      </c>
      <c r="D74" s="31">
        <v>5</v>
      </c>
      <c r="E74" s="32">
        <v>1</v>
      </c>
      <c r="F74" s="32">
        <v>3</v>
      </c>
      <c r="G74" s="30" t="s">
        <v>5</v>
      </c>
    </row>
    <row r="75" spans="3:19" ht="28.8" x14ac:dyDescent="0.3">
      <c r="C75" s="14">
        <v>150</v>
      </c>
      <c r="D75" s="33">
        <v>7</v>
      </c>
      <c r="E75" s="45" t="s">
        <v>27</v>
      </c>
      <c r="F75" s="45" t="s">
        <v>26</v>
      </c>
      <c r="G75" s="28">
        <v>2</v>
      </c>
    </row>
    <row r="76" spans="3:19" ht="29.4" thickBot="1" x14ac:dyDescent="0.35">
      <c r="C76" s="18">
        <v>100</v>
      </c>
      <c r="D76" s="37">
        <v>0</v>
      </c>
      <c r="E76" s="36">
        <v>0</v>
      </c>
      <c r="F76" s="44" t="s">
        <v>20</v>
      </c>
      <c r="G76" s="29">
        <v>0</v>
      </c>
    </row>
    <row r="78" spans="3:19" x14ac:dyDescent="0.3">
      <c r="C78" s="229" t="s">
        <v>50</v>
      </c>
      <c r="D78" s="230"/>
      <c r="E78" s="230"/>
      <c r="F78" s="230"/>
      <c r="G78" s="230"/>
      <c r="H78" s="231"/>
      <c r="M78" s="131"/>
      <c r="N78" s="229" t="s">
        <v>50</v>
      </c>
      <c r="O78" s="230"/>
      <c r="P78" s="230"/>
      <c r="Q78" s="230"/>
      <c r="R78" s="230"/>
      <c r="S78" s="231"/>
    </row>
    <row r="79" spans="3:19" ht="15" thickBot="1" x14ac:dyDescent="0.35">
      <c r="M79" s="130"/>
    </row>
    <row r="80" spans="3:19" ht="15" thickBot="1" x14ac:dyDescent="0.35">
      <c r="C80" s="72" t="s">
        <v>3</v>
      </c>
      <c r="D80" s="65">
        <v>50</v>
      </c>
      <c r="E80" s="66">
        <v>150</v>
      </c>
      <c r="F80" s="66">
        <v>200</v>
      </c>
      <c r="G80" s="67">
        <v>150</v>
      </c>
      <c r="M80" s="62"/>
      <c r="N80" s="72" t="s">
        <v>3</v>
      </c>
      <c r="O80" s="65">
        <v>50</v>
      </c>
      <c r="P80" s="66">
        <v>150</v>
      </c>
      <c r="Q80" s="66">
        <v>100</v>
      </c>
      <c r="R80" s="67">
        <v>150</v>
      </c>
    </row>
    <row r="81" spans="3:20" x14ac:dyDescent="0.3">
      <c r="C81" s="68">
        <v>50</v>
      </c>
      <c r="D81" s="7">
        <v>4</v>
      </c>
      <c r="E81" s="8">
        <v>5</v>
      </c>
      <c r="F81" s="8">
        <v>6</v>
      </c>
      <c r="G81" s="9">
        <v>10</v>
      </c>
      <c r="M81" s="62"/>
      <c r="N81" s="68">
        <v>50</v>
      </c>
      <c r="O81" s="7">
        <v>4</v>
      </c>
      <c r="P81" s="8">
        <v>5</v>
      </c>
      <c r="Q81" s="8">
        <v>6</v>
      </c>
      <c r="R81" s="9">
        <v>10</v>
      </c>
    </row>
    <row r="82" spans="3:20" x14ac:dyDescent="0.3">
      <c r="C82" s="69">
        <v>100</v>
      </c>
      <c r="D82" s="11">
        <v>6</v>
      </c>
      <c r="E82" s="12">
        <v>3</v>
      </c>
      <c r="F82" s="12">
        <v>8</v>
      </c>
      <c r="G82" s="13">
        <v>4</v>
      </c>
      <c r="M82" s="62"/>
      <c r="N82" s="69">
        <v>100</v>
      </c>
      <c r="O82" s="38">
        <v>6</v>
      </c>
      <c r="P82" s="12">
        <v>3</v>
      </c>
      <c r="Q82" s="12">
        <v>8</v>
      </c>
      <c r="R82" s="13">
        <v>4</v>
      </c>
    </row>
    <row r="83" spans="3:20" x14ac:dyDescent="0.3">
      <c r="C83" s="69">
        <v>150</v>
      </c>
      <c r="D83" s="11">
        <v>5</v>
      </c>
      <c r="E83" s="12">
        <v>1</v>
      </c>
      <c r="F83" s="12">
        <v>3</v>
      </c>
      <c r="G83" s="13">
        <v>1</v>
      </c>
      <c r="M83" s="62"/>
      <c r="N83" s="69">
        <v>150</v>
      </c>
      <c r="O83" s="38">
        <v>5</v>
      </c>
      <c r="P83" s="12">
        <v>1</v>
      </c>
      <c r="Q83" s="12">
        <v>3</v>
      </c>
      <c r="R83" s="13">
        <v>1</v>
      </c>
    </row>
    <row r="84" spans="3:20" x14ac:dyDescent="0.3">
      <c r="C84" s="70">
        <v>150</v>
      </c>
      <c r="D84" s="15">
        <v>7</v>
      </c>
      <c r="E84" s="16">
        <v>2</v>
      </c>
      <c r="F84" s="16">
        <v>4</v>
      </c>
      <c r="G84" s="17">
        <v>2</v>
      </c>
      <c r="M84" s="62"/>
      <c r="N84" s="70">
        <v>50</v>
      </c>
      <c r="O84" s="15">
        <v>7</v>
      </c>
      <c r="P84" s="16">
        <v>2</v>
      </c>
      <c r="Q84" s="16">
        <v>4</v>
      </c>
      <c r="R84" s="17">
        <v>2</v>
      </c>
    </row>
    <row r="85" spans="3:20" ht="15" thickBot="1" x14ac:dyDescent="0.35">
      <c r="C85" s="71">
        <v>100</v>
      </c>
      <c r="D85" s="19">
        <v>0</v>
      </c>
      <c r="E85" s="20">
        <v>0</v>
      </c>
      <c r="F85" s="20">
        <v>0</v>
      </c>
      <c r="G85" s="21">
        <v>0</v>
      </c>
      <c r="J85" s="64"/>
      <c r="M85" s="62"/>
      <c r="N85" s="71">
        <v>100</v>
      </c>
      <c r="O85" s="19">
        <v>0</v>
      </c>
      <c r="P85" s="20">
        <v>0</v>
      </c>
      <c r="Q85" s="20">
        <v>0</v>
      </c>
      <c r="R85" s="21">
        <v>0</v>
      </c>
    </row>
    <row r="86" spans="3:20" ht="15" thickBot="1" x14ac:dyDescent="0.35">
      <c r="J86" s="1"/>
      <c r="M86" s="130"/>
    </row>
    <row r="87" spans="3:20" ht="15" thickBot="1" x14ac:dyDescent="0.35">
      <c r="C87" s="72" t="s">
        <v>3</v>
      </c>
      <c r="D87" s="65" t="s">
        <v>37</v>
      </c>
      <c r="E87" s="66" t="s">
        <v>38</v>
      </c>
      <c r="F87" s="66" t="s">
        <v>39</v>
      </c>
      <c r="G87" s="82" t="s">
        <v>40</v>
      </c>
      <c r="H87" s="86" t="s">
        <v>46</v>
      </c>
      <c r="I87" s="75" t="s">
        <v>51</v>
      </c>
      <c r="J87" s="1"/>
      <c r="M87" s="62"/>
      <c r="N87" s="72" t="s">
        <v>3</v>
      </c>
      <c r="O87" s="65" t="s">
        <v>37</v>
      </c>
      <c r="P87" s="66" t="s">
        <v>38</v>
      </c>
      <c r="Q87" s="66" t="s">
        <v>39</v>
      </c>
      <c r="R87" s="82" t="s">
        <v>40</v>
      </c>
      <c r="S87" s="86" t="s">
        <v>46</v>
      </c>
      <c r="T87" s="75" t="s">
        <v>51</v>
      </c>
    </row>
    <row r="88" spans="3:20" x14ac:dyDescent="0.3">
      <c r="C88" s="78" t="s">
        <v>41</v>
      </c>
      <c r="D88" s="8">
        <v>50</v>
      </c>
      <c r="E88" s="8">
        <v>0</v>
      </c>
      <c r="F88" s="8">
        <v>0</v>
      </c>
      <c r="G88" s="83">
        <v>0</v>
      </c>
      <c r="H88" s="87">
        <f>SUM(D88:G88)</f>
        <v>50</v>
      </c>
      <c r="I88" s="24">
        <v>50</v>
      </c>
      <c r="J88" s="1"/>
      <c r="M88" s="62"/>
      <c r="N88" s="78" t="s">
        <v>41</v>
      </c>
      <c r="O88" s="8">
        <v>50</v>
      </c>
      <c r="P88" s="8">
        <v>0</v>
      </c>
      <c r="Q88" s="8">
        <v>0</v>
      </c>
      <c r="R88" s="83">
        <v>0</v>
      </c>
      <c r="S88" s="135">
        <f>SUM(O88:R88)</f>
        <v>50</v>
      </c>
      <c r="T88" s="24">
        <v>50</v>
      </c>
    </row>
    <row r="89" spans="3:20" x14ac:dyDescent="0.3">
      <c r="C89" s="79" t="s">
        <v>42</v>
      </c>
      <c r="D89" s="12">
        <v>0</v>
      </c>
      <c r="E89" s="12">
        <v>100</v>
      </c>
      <c r="F89" s="12">
        <v>0</v>
      </c>
      <c r="G89" s="84">
        <v>0</v>
      </c>
      <c r="H89" s="88">
        <f>SUM(D89:G89)</f>
        <v>100</v>
      </c>
      <c r="I89" s="25">
        <v>100</v>
      </c>
      <c r="J89" s="1"/>
      <c r="M89" s="62"/>
      <c r="N89" s="79" t="s">
        <v>42</v>
      </c>
      <c r="O89" s="12">
        <v>0</v>
      </c>
      <c r="P89" s="12">
        <v>100</v>
      </c>
      <c r="Q89" s="12">
        <v>0</v>
      </c>
      <c r="R89" s="84">
        <v>0</v>
      </c>
      <c r="S89" s="136">
        <f>SUM(O89:R89)</f>
        <v>100</v>
      </c>
      <c r="T89" s="25">
        <v>100</v>
      </c>
    </row>
    <row r="90" spans="3:20" x14ac:dyDescent="0.3">
      <c r="C90" s="79" t="s">
        <v>43</v>
      </c>
      <c r="D90" s="12">
        <v>0</v>
      </c>
      <c r="E90" s="12">
        <v>50</v>
      </c>
      <c r="F90" s="12">
        <v>0</v>
      </c>
      <c r="G90" s="84">
        <v>100</v>
      </c>
      <c r="H90" s="88">
        <f>SUM(D90:G90)</f>
        <v>150</v>
      </c>
      <c r="I90" s="25">
        <v>150</v>
      </c>
      <c r="J90" s="1"/>
      <c r="M90" s="62"/>
      <c r="N90" s="79" t="s">
        <v>43</v>
      </c>
      <c r="O90" s="12">
        <v>0</v>
      </c>
      <c r="P90" s="12">
        <v>50</v>
      </c>
      <c r="Q90" s="12">
        <v>0</v>
      </c>
      <c r="R90" s="84">
        <v>100</v>
      </c>
      <c r="S90" s="136">
        <f>SUM(O90:R90)</f>
        <v>150</v>
      </c>
      <c r="T90" s="25">
        <v>150</v>
      </c>
    </row>
    <row r="91" spans="3:20" x14ac:dyDescent="0.3">
      <c r="C91" s="79" t="s">
        <v>44</v>
      </c>
      <c r="D91" s="12">
        <v>0</v>
      </c>
      <c r="E91" s="12">
        <v>0</v>
      </c>
      <c r="F91" s="12">
        <v>100</v>
      </c>
      <c r="G91" s="84">
        <v>50</v>
      </c>
      <c r="H91" s="88">
        <f>SUM(D91:G91)</f>
        <v>150</v>
      </c>
      <c r="I91" s="25">
        <v>150</v>
      </c>
      <c r="J91" s="1"/>
      <c r="M91" s="62"/>
      <c r="N91" s="79" t="s">
        <v>44</v>
      </c>
      <c r="O91" s="12">
        <v>0</v>
      </c>
      <c r="P91" s="12">
        <v>0</v>
      </c>
      <c r="Q91" s="134">
        <v>0</v>
      </c>
      <c r="R91" s="84">
        <v>50</v>
      </c>
      <c r="S91" s="136">
        <f>SUM(O91:R91)</f>
        <v>50</v>
      </c>
      <c r="T91" s="25">
        <v>50</v>
      </c>
    </row>
    <row r="92" spans="3:20" ht="15" thickBot="1" x14ac:dyDescent="0.35">
      <c r="C92" s="80" t="s">
        <v>45</v>
      </c>
      <c r="D92" s="20">
        <v>0</v>
      </c>
      <c r="E92" s="20">
        <v>0</v>
      </c>
      <c r="F92" s="20">
        <v>100</v>
      </c>
      <c r="G92" s="85">
        <v>0</v>
      </c>
      <c r="H92" s="89">
        <f>SUM(D92:G92)</f>
        <v>100</v>
      </c>
      <c r="I92" s="81">
        <v>100</v>
      </c>
      <c r="J92" s="1"/>
      <c r="M92" s="62"/>
      <c r="N92" s="80" t="s">
        <v>45</v>
      </c>
      <c r="O92" s="20">
        <v>0</v>
      </c>
      <c r="P92" s="20">
        <v>0</v>
      </c>
      <c r="Q92" s="20">
        <v>100</v>
      </c>
      <c r="R92" s="85">
        <v>0</v>
      </c>
      <c r="S92" s="137">
        <f>SUM(O92:R92)</f>
        <v>100</v>
      </c>
      <c r="T92" s="81">
        <v>100</v>
      </c>
    </row>
    <row r="93" spans="3:20" x14ac:dyDescent="0.3">
      <c r="C93" s="120" t="s">
        <v>47</v>
      </c>
      <c r="D93" s="90">
        <f>SUM(D88:D92)</f>
        <v>50</v>
      </c>
      <c r="E93" s="90">
        <f>SUM(E88:E92)</f>
        <v>150</v>
      </c>
      <c r="F93" s="90">
        <f t="shared" ref="F93:G93" si="0">SUM(F88:F92)</f>
        <v>200</v>
      </c>
      <c r="G93" s="91">
        <f t="shared" si="0"/>
        <v>150</v>
      </c>
      <c r="H93" s="59"/>
      <c r="I93" s="23"/>
      <c r="J93" s="1"/>
      <c r="M93" s="132"/>
      <c r="N93" s="120" t="s">
        <v>47</v>
      </c>
      <c r="O93" s="73">
        <f>SUM(O88:O92)</f>
        <v>50</v>
      </c>
      <c r="P93" s="73">
        <f>SUM(P88:P92)</f>
        <v>150</v>
      </c>
      <c r="Q93" s="73">
        <f t="shared" ref="Q93:R93" si="1">SUM(Q88:Q92)</f>
        <v>100</v>
      </c>
      <c r="R93" s="74">
        <f t="shared" si="1"/>
        <v>150</v>
      </c>
      <c r="S93" s="59"/>
      <c r="T93" s="23"/>
    </row>
    <row r="94" spans="3:20" ht="15" thickBot="1" x14ac:dyDescent="0.35">
      <c r="C94" s="92" t="s">
        <v>48</v>
      </c>
      <c r="D94" s="20">
        <v>50</v>
      </c>
      <c r="E94" s="20">
        <v>150</v>
      </c>
      <c r="F94" s="20">
        <v>200</v>
      </c>
      <c r="G94" s="21">
        <v>150</v>
      </c>
      <c r="H94" s="59"/>
      <c r="I94" s="23"/>
      <c r="J94" s="1"/>
      <c r="M94" s="62"/>
      <c r="N94" s="92" t="s">
        <v>48</v>
      </c>
      <c r="O94" s="20">
        <v>50</v>
      </c>
      <c r="P94" s="20">
        <v>150</v>
      </c>
      <c r="Q94" s="20">
        <v>100</v>
      </c>
      <c r="R94" s="21">
        <v>150</v>
      </c>
      <c r="S94" s="59"/>
      <c r="T94" s="23"/>
    </row>
    <row r="95" spans="3:20" ht="15" thickBot="1" x14ac:dyDescent="0.35">
      <c r="C95" s="76"/>
      <c r="D95" s="59"/>
      <c r="E95" s="59"/>
      <c r="F95" s="59"/>
      <c r="G95" s="59"/>
      <c r="H95" s="59"/>
      <c r="I95" s="23"/>
      <c r="M95" s="62"/>
      <c r="N95" s="76"/>
      <c r="O95" s="59"/>
      <c r="P95" s="59"/>
      <c r="Q95" s="59"/>
      <c r="R95" s="59"/>
      <c r="S95" s="59"/>
      <c r="T95" s="23"/>
    </row>
    <row r="96" spans="3:20" ht="15" thickBot="1" x14ac:dyDescent="0.35">
      <c r="C96" s="121" t="s">
        <v>49</v>
      </c>
      <c r="D96" s="122">
        <f>SUMPRODUCT(D88:G92,D81:G85)</f>
        <v>1150</v>
      </c>
      <c r="E96" s="77"/>
      <c r="F96" s="77"/>
      <c r="G96" s="77"/>
      <c r="H96" s="77"/>
      <c r="I96" s="22"/>
      <c r="M96" s="131"/>
      <c r="N96" s="121" t="s">
        <v>49</v>
      </c>
      <c r="O96" s="122">
        <f>SUMPRODUCT(O88:R92,O81:R85)</f>
        <v>750</v>
      </c>
      <c r="P96" s="77"/>
      <c r="Q96" s="77"/>
      <c r="R96" s="77"/>
      <c r="S96" s="77"/>
      <c r="T96" s="22"/>
    </row>
    <row r="97" spans="13:20" x14ac:dyDescent="0.3">
      <c r="M97" s="130"/>
      <c r="N97" s="130"/>
      <c r="O97" s="130"/>
      <c r="P97" s="130"/>
      <c r="Q97" s="130"/>
      <c r="R97" s="130"/>
      <c r="S97" s="130"/>
      <c r="T97" s="130"/>
    </row>
    <row r="98" spans="13:20" x14ac:dyDescent="0.3">
      <c r="M98" s="228"/>
      <c r="N98" s="228"/>
      <c r="O98" s="228"/>
      <c r="P98" s="228"/>
      <c r="Q98" s="228"/>
      <c r="R98" s="133"/>
      <c r="S98" s="130"/>
      <c r="T98" s="130"/>
    </row>
  </sheetData>
  <mergeCells count="15">
    <mergeCell ref="C26:H26"/>
    <mergeCell ref="C10:H10"/>
    <mergeCell ref="M98:Q98"/>
    <mergeCell ref="M26:R26"/>
    <mergeCell ref="M28:R28"/>
    <mergeCell ref="N78:S78"/>
    <mergeCell ref="C28:H28"/>
    <mergeCell ref="C69:H69"/>
    <mergeCell ref="C78:H78"/>
    <mergeCell ref="M8:S8"/>
    <mergeCell ref="M10:S10"/>
    <mergeCell ref="C2:E2"/>
    <mergeCell ref="C3:E3"/>
    <mergeCell ref="C4:E4"/>
    <mergeCell ref="C8:H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7C3F-517C-42E2-9613-CAC95DC33575}">
  <dimension ref="C3:Y69"/>
  <sheetViews>
    <sheetView zoomScale="70" zoomScaleNormal="70" workbookViewId="0">
      <selection activeCell="K3" sqref="K3"/>
    </sheetView>
  </sheetViews>
  <sheetFormatPr defaultRowHeight="14.4" x14ac:dyDescent="0.3"/>
  <sheetData>
    <row r="3" spans="3:25" x14ac:dyDescent="0.3">
      <c r="C3" s="211" t="s">
        <v>0</v>
      </c>
      <c r="D3" s="212"/>
      <c r="E3" s="213"/>
    </row>
    <row r="4" spans="3:25" x14ac:dyDescent="0.3">
      <c r="C4" s="214">
        <v>351004</v>
      </c>
      <c r="D4" s="224"/>
      <c r="E4" s="216"/>
    </row>
    <row r="5" spans="3:25" x14ac:dyDescent="0.3">
      <c r="C5" s="217" t="s">
        <v>1</v>
      </c>
      <c r="D5" s="218"/>
      <c r="E5" s="219"/>
    </row>
    <row r="9" spans="3:25" x14ac:dyDescent="0.3">
      <c r="C9" s="220" t="s">
        <v>2</v>
      </c>
      <c r="D9" s="220"/>
      <c r="E9" s="220"/>
      <c r="F9" s="220"/>
      <c r="G9" s="220"/>
      <c r="H9" s="220"/>
      <c r="L9" s="208" t="s">
        <v>50</v>
      </c>
      <c r="M9" s="209"/>
      <c r="N9" s="209"/>
      <c r="O9" s="209"/>
      <c r="P9" s="209"/>
      <c r="Q9" s="209"/>
      <c r="R9" s="209"/>
      <c r="S9" s="209"/>
      <c r="T9" s="209"/>
      <c r="U9" s="210"/>
    </row>
    <row r="10" spans="3:25" ht="15" thickBot="1" x14ac:dyDescent="0.35"/>
    <row r="11" spans="3:25" ht="15" thickBot="1" x14ac:dyDescent="0.35">
      <c r="C11" s="221" t="s">
        <v>4</v>
      </c>
      <c r="D11" s="222"/>
      <c r="E11" s="222"/>
      <c r="F11" s="222"/>
      <c r="G11" s="222"/>
      <c r="H11" s="223"/>
      <c r="J11" t="s">
        <v>220</v>
      </c>
      <c r="L11" s="235" t="s">
        <v>221</v>
      </c>
      <c r="M11" s="236"/>
      <c r="N11" s="236"/>
      <c r="O11" s="237"/>
      <c r="R11" s="156" t="s">
        <v>222</v>
      </c>
      <c r="S11" s="157"/>
      <c r="T11" s="158"/>
    </row>
    <row r="12" spans="3:25" ht="15" thickBot="1" x14ac:dyDescent="0.35">
      <c r="L12" s="148"/>
      <c r="M12" s="147" t="s">
        <v>217</v>
      </c>
      <c r="N12" s="143" t="s">
        <v>218</v>
      </c>
      <c r="O12" s="75" t="s">
        <v>219</v>
      </c>
      <c r="R12" s="148"/>
      <c r="S12" s="147" t="s">
        <v>37</v>
      </c>
      <c r="T12" s="143" t="s">
        <v>38</v>
      </c>
    </row>
    <row r="13" spans="3:25" ht="15" thickBot="1" x14ac:dyDescent="0.35">
      <c r="C13" s="148"/>
      <c r="D13" s="147" t="s">
        <v>217</v>
      </c>
      <c r="E13" s="143" t="s">
        <v>218</v>
      </c>
      <c r="F13" s="75" t="s">
        <v>219</v>
      </c>
      <c r="G13" s="154" t="s">
        <v>37</v>
      </c>
      <c r="H13" s="155" t="s">
        <v>38</v>
      </c>
      <c r="L13" s="149" t="s">
        <v>41</v>
      </c>
      <c r="M13" s="7">
        <v>18</v>
      </c>
      <c r="N13" s="8">
        <v>20</v>
      </c>
      <c r="O13" s="83">
        <v>23</v>
      </c>
      <c r="P13" s="128">
        <v>130</v>
      </c>
      <c r="R13" s="144" t="s">
        <v>217</v>
      </c>
      <c r="S13" s="135">
        <v>16</v>
      </c>
      <c r="T13" s="9">
        <v>14</v>
      </c>
      <c r="U13" s="128">
        <v>250</v>
      </c>
    </row>
    <row r="14" spans="3:25" x14ac:dyDescent="0.3">
      <c r="C14" s="149" t="s">
        <v>41</v>
      </c>
      <c r="D14" s="7">
        <v>18</v>
      </c>
      <c r="E14" s="8">
        <v>20</v>
      </c>
      <c r="F14" s="83">
        <v>23</v>
      </c>
      <c r="G14" s="138">
        <v>9999999999999</v>
      </c>
      <c r="H14" s="74">
        <v>9999999999999</v>
      </c>
      <c r="L14" s="150" t="s">
        <v>42</v>
      </c>
      <c r="M14" s="38">
        <v>16</v>
      </c>
      <c r="N14" s="12">
        <v>18</v>
      </c>
      <c r="O14" s="84">
        <v>25</v>
      </c>
      <c r="P14" s="125">
        <v>240</v>
      </c>
      <c r="R14" s="146" t="s">
        <v>218</v>
      </c>
      <c r="S14" s="136">
        <v>20</v>
      </c>
      <c r="T14" s="13">
        <v>10</v>
      </c>
      <c r="U14" s="125">
        <v>350</v>
      </c>
    </row>
    <row r="15" spans="3:25" ht="15" thickBot="1" x14ac:dyDescent="0.35">
      <c r="C15" s="150" t="s">
        <v>42</v>
      </c>
      <c r="D15" s="38">
        <v>16</v>
      </c>
      <c r="E15" s="12">
        <v>18</v>
      </c>
      <c r="F15" s="84">
        <v>25</v>
      </c>
      <c r="G15" s="136">
        <v>9999999999999</v>
      </c>
      <c r="H15" s="13">
        <v>9999999999999</v>
      </c>
      <c r="L15" s="151" t="s">
        <v>43</v>
      </c>
      <c r="M15" s="19">
        <v>20</v>
      </c>
      <c r="N15" s="20">
        <v>14</v>
      </c>
      <c r="O15" s="85">
        <v>22</v>
      </c>
      <c r="P15" s="126">
        <v>380</v>
      </c>
      <c r="R15" s="145" t="s">
        <v>219</v>
      </c>
      <c r="S15" s="140">
        <v>18</v>
      </c>
      <c r="T15" s="153">
        <v>12</v>
      </c>
      <c r="U15" s="126">
        <v>450</v>
      </c>
    </row>
    <row r="16" spans="3:25" ht="15" thickBot="1" x14ac:dyDescent="0.35">
      <c r="C16" s="151" t="s">
        <v>43</v>
      </c>
      <c r="D16" s="152">
        <v>20</v>
      </c>
      <c r="E16" s="141">
        <v>14</v>
      </c>
      <c r="F16" s="142">
        <v>22</v>
      </c>
      <c r="G16" s="137">
        <v>9999999999999</v>
      </c>
      <c r="H16" s="21">
        <v>9999999999999</v>
      </c>
      <c r="M16" s="160">
        <v>250</v>
      </c>
      <c r="N16" s="123">
        <v>350</v>
      </c>
      <c r="O16" s="124">
        <v>450</v>
      </c>
      <c r="S16" s="160">
        <v>350</v>
      </c>
      <c r="T16" s="124">
        <v>400</v>
      </c>
      <c r="Y16" t="s">
        <v>225</v>
      </c>
    </row>
    <row r="17" spans="3:19" x14ac:dyDescent="0.3">
      <c r="C17" s="144" t="s">
        <v>217</v>
      </c>
      <c r="D17" s="138">
        <v>0</v>
      </c>
      <c r="E17" s="73">
        <v>9999999999999</v>
      </c>
      <c r="F17" s="74">
        <v>9999999999999</v>
      </c>
      <c r="G17" s="135">
        <v>16</v>
      </c>
      <c r="H17" s="9">
        <v>14</v>
      </c>
    </row>
    <row r="18" spans="3:19" ht="15" thickBot="1" x14ac:dyDescent="0.35">
      <c r="C18" s="146" t="s">
        <v>218</v>
      </c>
      <c r="D18" s="136">
        <v>9999999999999</v>
      </c>
      <c r="E18" s="12">
        <v>0</v>
      </c>
      <c r="F18" s="13">
        <v>9999999999999</v>
      </c>
      <c r="G18" s="136">
        <v>20</v>
      </c>
      <c r="H18" s="13">
        <v>10</v>
      </c>
    </row>
    <row r="19" spans="3:19" ht="15" thickBot="1" x14ac:dyDescent="0.35">
      <c r="C19" s="145" t="s">
        <v>219</v>
      </c>
      <c r="D19" s="137">
        <v>9999999999999</v>
      </c>
      <c r="E19" s="20">
        <v>9999999999999</v>
      </c>
      <c r="F19" s="21">
        <v>0</v>
      </c>
      <c r="G19" s="137">
        <v>18</v>
      </c>
      <c r="H19" s="21">
        <v>12</v>
      </c>
      <c r="L19" s="235" t="s">
        <v>223</v>
      </c>
      <c r="M19" s="236"/>
      <c r="N19" s="236"/>
      <c r="O19" s="236"/>
      <c r="P19" s="236"/>
      <c r="Q19" s="237"/>
    </row>
    <row r="20" spans="3:19" ht="15" thickBot="1" x14ac:dyDescent="0.35">
      <c r="L20" s="161"/>
      <c r="M20" s="162" t="s">
        <v>217</v>
      </c>
      <c r="N20" s="163" t="s">
        <v>218</v>
      </c>
      <c r="O20" s="164" t="s">
        <v>219</v>
      </c>
      <c r="P20" s="165" t="s">
        <v>37</v>
      </c>
      <c r="Q20" s="166" t="s">
        <v>38</v>
      </c>
    </row>
    <row r="21" spans="3:19" ht="15" thickBot="1" x14ac:dyDescent="0.35">
      <c r="C21" s="232" t="s">
        <v>226</v>
      </c>
      <c r="D21" s="233"/>
      <c r="E21" s="233"/>
      <c r="F21" s="234"/>
      <c r="L21" s="149" t="s">
        <v>41</v>
      </c>
      <c r="M21" s="7">
        <v>18</v>
      </c>
      <c r="N21" s="8">
        <v>20</v>
      </c>
      <c r="O21" s="83">
        <v>23</v>
      </c>
      <c r="P21" s="185">
        <v>100</v>
      </c>
      <c r="Q21" s="180">
        <v>100</v>
      </c>
    </row>
    <row r="22" spans="3:19" ht="15" thickBot="1" x14ac:dyDescent="0.35">
      <c r="C22" s="148"/>
      <c r="D22" s="147">
        <v>250</v>
      </c>
      <c r="E22" s="143">
        <v>350</v>
      </c>
      <c r="F22" s="75">
        <v>450</v>
      </c>
      <c r="L22" s="150" t="s">
        <v>42</v>
      </c>
      <c r="M22" s="38">
        <v>16</v>
      </c>
      <c r="N22" s="12">
        <v>18</v>
      </c>
      <c r="O22" s="84">
        <v>25</v>
      </c>
      <c r="P22" s="182">
        <v>100</v>
      </c>
      <c r="Q22" s="181">
        <v>100</v>
      </c>
    </row>
    <row r="23" spans="3:19" ht="15" thickBot="1" x14ac:dyDescent="0.35">
      <c r="C23" s="149">
        <v>130</v>
      </c>
      <c r="D23" s="188" t="s">
        <v>229</v>
      </c>
      <c r="E23" s="35">
        <v>20</v>
      </c>
      <c r="F23" s="191" t="s">
        <v>231</v>
      </c>
      <c r="G23" s="62"/>
      <c r="L23" s="151" t="s">
        <v>43</v>
      </c>
      <c r="M23" s="152">
        <v>20</v>
      </c>
      <c r="N23" s="141">
        <v>14</v>
      </c>
      <c r="O23" s="142">
        <v>22</v>
      </c>
      <c r="P23" s="183">
        <v>100</v>
      </c>
      <c r="Q23" s="186">
        <v>100</v>
      </c>
    </row>
    <row r="24" spans="3:19" x14ac:dyDescent="0.3">
      <c r="C24" s="150">
        <v>240</v>
      </c>
      <c r="D24" s="187" t="s">
        <v>228</v>
      </c>
      <c r="E24" s="32">
        <v>18</v>
      </c>
      <c r="F24" s="27">
        <v>25</v>
      </c>
      <c r="G24" s="62"/>
      <c r="L24" s="144" t="s">
        <v>217</v>
      </c>
      <c r="M24" s="138">
        <v>0</v>
      </c>
      <c r="N24" s="179">
        <v>100</v>
      </c>
      <c r="O24" s="180">
        <v>100</v>
      </c>
      <c r="P24" s="7">
        <v>16</v>
      </c>
      <c r="Q24" s="9">
        <v>14</v>
      </c>
    </row>
    <row r="25" spans="3:19" x14ac:dyDescent="0.3">
      <c r="C25" s="150">
        <v>380</v>
      </c>
      <c r="D25" s="31">
        <v>20</v>
      </c>
      <c r="E25" s="42" t="s">
        <v>227</v>
      </c>
      <c r="F25" s="30" t="s">
        <v>230</v>
      </c>
      <c r="G25" s="62"/>
      <c r="L25" s="146" t="s">
        <v>218</v>
      </c>
      <c r="M25" s="182">
        <v>100</v>
      </c>
      <c r="N25" s="12">
        <v>0</v>
      </c>
      <c r="O25" s="181">
        <v>100</v>
      </c>
      <c r="P25" s="38">
        <v>20</v>
      </c>
      <c r="Q25" s="13">
        <v>10</v>
      </c>
    </row>
    <row r="26" spans="3:19" ht="15" thickBot="1" x14ac:dyDescent="0.35">
      <c r="C26" s="151">
        <v>300</v>
      </c>
      <c r="D26" s="189">
        <v>0</v>
      </c>
      <c r="E26" s="190">
        <v>0</v>
      </c>
      <c r="F26" s="192" t="s">
        <v>232</v>
      </c>
      <c r="L26" s="145" t="s">
        <v>219</v>
      </c>
      <c r="M26" s="183">
        <v>100</v>
      </c>
      <c r="N26" s="184">
        <v>100</v>
      </c>
      <c r="O26" s="21">
        <v>0</v>
      </c>
      <c r="P26" s="19">
        <v>18</v>
      </c>
      <c r="Q26" s="21">
        <v>12</v>
      </c>
    </row>
    <row r="27" spans="3:19" ht="15" thickBot="1" x14ac:dyDescent="0.35"/>
    <row r="28" spans="3:19" ht="15" thickBot="1" x14ac:dyDescent="0.35">
      <c r="C28" s="229" t="s">
        <v>207</v>
      </c>
      <c r="D28" s="230"/>
      <c r="E28" s="230"/>
      <c r="F28" s="230"/>
      <c r="G28" s="230"/>
      <c r="H28" s="231"/>
      <c r="L28" s="235" t="s">
        <v>224</v>
      </c>
      <c r="M28" s="236"/>
      <c r="N28" s="236"/>
      <c r="O28" s="236"/>
      <c r="P28" s="236"/>
      <c r="Q28" s="237"/>
    </row>
    <row r="29" spans="3:19" ht="15" thickBot="1" x14ac:dyDescent="0.35">
      <c r="L29" s="161"/>
      <c r="M29" s="162" t="s">
        <v>217</v>
      </c>
      <c r="N29" s="163" t="s">
        <v>218</v>
      </c>
      <c r="O29" s="164" t="s">
        <v>219</v>
      </c>
      <c r="P29" s="165" t="s">
        <v>37</v>
      </c>
      <c r="Q29" s="166" t="s">
        <v>38</v>
      </c>
    </row>
    <row r="30" spans="3:19" ht="15" thickBot="1" x14ac:dyDescent="0.35">
      <c r="C30" s="232" t="s">
        <v>226</v>
      </c>
      <c r="D30" s="233"/>
      <c r="E30" s="233"/>
      <c r="F30" s="234"/>
      <c r="L30" s="149" t="s">
        <v>41</v>
      </c>
      <c r="M30" s="7">
        <v>10</v>
      </c>
      <c r="N30" s="8">
        <v>0</v>
      </c>
      <c r="O30" s="83">
        <v>120</v>
      </c>
      <c r="P30" s="138">
        <v>0</v>
      </c>
      <c r="Q30" s="139">
        <v>0</v>
      </c>
      <c r="R30" s="173">
        <f>SUM(M30:Q30)</f>
        <v>130</v>
      </c>
      <c r="S30" s="129">
        <v>130</v>
      </c>
    </row>
    <row r="31" spans="3:19" ht="15" thickBot="1" x14ac:dyDescent="0.35">
      <c r="C31" s="148"/>
      <c r="D31" s="147">
        <v>250</v>
      </c>
      <c r="E31" s="143">
        <v>350</v>
      </c>
      <c r="F31" s="75">
        <v>450</v>
      </c>
      <c r="L31" s="150" t="s">
        <v>42</v>
      </c>
      <c r="M31" s="38">
        <v>240</v>
      </c>
      <c r="N31" s="12">
        <v>0</v>
      </c>
      <c r="O31" s="84">
        <v>0</v>
      </c>
      <c r="P31" s="136">
        <v>0</v>
      </c>
      <c r="Q31" s="84">
        <v>0</v>
      </c>
      <c r="R31" s="177">
        <f t="shared" ref="R31:R34" si="0">SUM(M31:Q31)</f>
        <v>240</v>
      </c>
      <c r="S31" s="25">
        <v>240</v>
      </c>
    </row>
    <row r="32" spans="3:19" ht="15" thickBot="1" x14ac:dyDescent="0.35">
      <c r="C32" s="149">
        <v>130</v>
      </c>
      <c r="D32" s="188" t="s">
        <v>229</v>
      </c>
      <c r="E32" s="35">
        <v>20</v>
      </c>
      <c r="F32" s="191" t="s">
        <v>231</v>
      </c>
      <c r="G32" s="170" t="s">
        <v>208</v>
      </c>
      <c r="L32" s="151" t="s">
        <v>43</v>
      </c>
      <c r="M32" s="152">
        <v>0</v>
      </c>
      <c r="N32" s="141">
        <v>350</v>
      </c>
      <c r="O32" s="142">
        <v>30</v>
      </c>
      <c r="P32" s="137">
        <v>0</v>
      </c>
      <c r="Q32" s="85">
        <v>0</v>
      </c>
      <c r="R32" s="177">
        <f t="shared" si="0"/>
        <v>380</v>
      </c>
      <c r="S32" s="25">
        <v>380</v>
      </c>
    </row>
    <row r="33" spans="3:19" x14ac:dyDescent="0.3">
      <c r="C33" s="150">
        <v>240</v>
      </c>
      <c r="D33" s="187" t="s">
        <v>228</v>
      </c>
      <c r="E33" s="32">
        <v>18</v>
      </c>
      <c r="F33" s="27">
        <v>25</v>
      </c>
      <c r="G33" s="171" t="s">
        <v>211</v>
      </c>
      <c r="L33" s="144" t="s">
        <v>217</v>
      </c>
      <c r="M33" s="138">
        <v>0</v>
      </c>
      <c r="N33" s="73">
        <v>0</v>
      </c>
      <c r="O33" s="74">
        <v>0</v>
      </c>
      <c r="P33" s="135">
        <v>250</v>
      </c>
      <c r="Q33" s="83">
        <v>0</v>
      </c>
      <c r="R33" s="177">
        <f t="shared" si="0"/>
        <v>250</v>
      </c>
      <c r="S33" s="25">
        <v>250</v>
      </c>
    </row>
    <row r="34" spans="3:19" x14ac:dyDescent="0.3">
      <c r="C34" s="150">
        <v>380</v>
      </c>
      <c r="D34" s="31">
        <v>20</v>
      </c>
      <c r="E34" s="42" t="s">
        <v>227</v>
      </c>
      <c r="F34" s="30" t="s">
        <v>230</v>
      </c>
      <c r="G34" s="171" t="s">
        <v>236</v>
      </c>
      <c r="L34" s="146" t="s">
        <v>218</v>
      </c>
      <c r="M34" s="136">
        <v>0</v>
      </c>
      <c r="N34" s="12">
        <v>0</v>
      </c>
      <c r="O34" s="13">
        <v>0</v>
      </c>
      <c r="P34" s="136">
        <v>0</v>
      </c>
      <c r="Q34" s="84">
        <v>350</v>
      </c>
      <c r="R34" s="177">
        <f t="shared" si="0"/>
        <v>350</v>
      </c>
      <c r="S34" s="25">
        <v>350</v>
      </c>
    </row>
    <row r="35" spans="3:19" ht="15" thickBot="1" x14ac:dyDescent="0.35">
      <c r="C35" s="151">
        <v>300</v>
      </c>
      <c r="D35" s="189">
        <v>0</v>
      </c>
      <c r="E35" s="190">
        <v>0</v>
      </c>
      <c r="F35" s="192" t="s">
        <v>232</v>
      </c>
      <c r="G35" s="193" t="s">
        <v>238</v>
      </c>
      <c r="L35" s="145" t="s">
        <v>219</v>
      </c>
      <c r="M35" s="140">
        <v>0</v>
      </c>
      <c r="N35" s="141">
        <v>0</v>
      </c>
      <c r="O35" s="153">
        <v>300</v>
      </c>
      <c r="P35" s="140">
        <v>100</v>
      </c>
      <c r="Q35" s="142">
        <v>50</v>
      </c>
      <c r="R35" s="178">
        <f>SUM(M35:Q35)</f>
        <v>450</v>
      </c>
      <c r="S35" s="81">
        <v>450</v>
      </c>
    </row>
    <row r="36" spans="3:19" ht="15" thickBot="1" x14ac:dyDescent="0.35">
      <c r="C36" s="60"/>
      <c r="D36" s="167" t="s">
        <v>235</v>
      </c>
      <c r="E36" s="168" t="s">
        <v>237</v>
      </c>
      <c r="F36" s="169" t="s">
        <v>234</v>
      </c>
      <c r="G36" s="194" t="s">
        <v>233</v>
      </c>
      <c r="M36" s="173">
        <f>SUM(M30:M35)</f>
        <v>250</v>
      </c>
      <c r="N36" s="174">
        <f t="shared" ref="N36:P36" si="1">SUM(N30:N35)</f>
        <v>350</v>
      </c>
      <c r="O36" s="174">
        <f t="shared" si="1"/>
        <v>450</v>
      </c>
      <c r="P36" s="174">
        <f t="shared" si="1"/>
        <v>350</v>
      </c>
      <c r="Q36" s="175">
        <f>SUM(Q30:Q35)</f>
        <v>400</v>
      </c>
    </row>
    <row r="37" spans="3:19" ht="15" thickBot="1" x14ac:dyDescent="0.35">
      <c r="M37" s="176">
        <v>250</v>
      </c>
      <c r="N37" s="127">
        <v>350</v>
      </c>
      <c r="O37" s="127">
        <v>450</v>
      </c>
      <c r="P37" s="127">
        <v>350</v>
      </c>
      <c r="Q37" s="81">
        <v>400</v>
      </c>
      <c r="S37" s="172">
        <f>SUMPRODUCT(M30:Q35,M21:Q26)</f>
        <v>22240</v>
      </c>
    </row>
    <row r="38" spans="3:19" ht="15" thickBot="1" x14ac:dyDescent="0.35">
      <c r="C38" s="232" t="s">
        <v>226</v>
      </c>
      <c r="D38" s="233"/>
      <c r="E38" s="233"/>
      <c r="F38" s="234"/>
    </row>
    <row r="39" spans="3:19" ht="15" thickBot="1" x14ac:dyDescent="0.35">
      <c r="C39" s="148"/>
      <c r="D39" s="147">
        <v>250</v>
      </c>
      <c r="E39" s="143">
        <v>350</v>
      </c>
      <c r="F39" s="75">
        <v>450</v>
      </c>
    </row>
    <row r="40" spans="3:19" x14ac:dyDescent="0.3">
      <c r="C40" s="149">
        <v>130</v>
      </c>
      <c r="D40" s="188" t="s">
        <v>229</v>
      </c>
      <c r="E40" s="46">
        <v>5</v>
      </c>
      <c r="F40" s="191" t="s">
        <v>231</v>
      </c>
      <c r="G40" s="170" t="s">
        <v>208</v>
      </c>
    </row>
    <row r="41" spans="3:19" x14ac:dyDescent="0.3">
      <c r="C41" s="150">
        <v>240</v>
      </c>
      <c r="D41" s="187" t="s">
        <v>228</v>
      </c>
      <c r="E41" s="47">
        <v>5</v>
      </c>
      <c r="F41" s="54">
        <v>4</v>
      </c>
      <c r="G41" s="171" t="s">
        <v>211</v>
      </c>
    </row>
    <row r="42" spans="3:19" x14ac:dyDescent="0.3">
      <c r="C42" s="150">
        <v>380</v>
      </c>
      <c r="D42" s="48">
        <v>3</v>
      </c>
      <c r="E42" s="42" t="s">
        <v>227</v>
      </c>
      <c r="F42" s="30" t="s">
        <v>230</v>
      </c>
      <c r="G42" s="171" t="s">
        <v>236</v>
      </c>
    </row>
    <row r="43" spans="3:19" ht="15" thickBot="1" x14ac:dyDescent="0.35">
      <c r="C43" s="151">
        <v>300</v>
      </c>
      <c r="D43" s="195">
        <v>5</v>
      </c>
      <c r="E43" s="196">
        <v>8</v>
      </c>
      <c r="F43" s="192" t="s">
        <v>232</v>
      </c>
      <c r="G43" s="193" t="s">
        <v>238</v>
      </c>
    </row>
    <row r="44" spans="3:19" ht="15" thickBot="1" x14ac:dyDescent="0.35">
      <c r="C44" s="60"/>
      <c r="D44" s="167" t="s">
        <v>235</v>
      </c>
      <c r="E44" s="168" t="s">
        <v>237</v>
      </c>
      <c r="F44" s="169" t="s">
        <v>234</v>
      </c>
      <c r="G44" s="194" t="s">
        <v>233</v>
      </c>
    </row>
    <row r="46" spans="3:19" ht="15" thickBot="1" x14ac:dyDescent="0.35">
      <c r="F46" s="159"/>
    </row>
    <row r="47" spans="3:19" ht="15" thickBot="1" x14ac:dyDescent="0.35">
      <c r="C47" s="235" t="s">
        <v>239</v>
      </c>
      <c r="D47" s="236"/>
      <c r="E47" s="237"/>
      <c r="F47" s="62"/>
    </row>
    <row r="48" spans="3:19" ht="15" thickBot="1" x14ac:dyDescent="0.35">
      <c r="C48" s="148"/>
      <c r="D48" s="147">
        <v>350</v>
      </c>
      <c r="E48" s="75">
        <v>400</v>
      </c>
      <c r="F48" s="132"/>
      <c r="G48" s="62"/>
    </row>
    <row r="49" spans="3:8" x14ac:dyDescent="0.3">
      <c r="C49" s="149">
        <v>250</v>
      </c>
      <c r="D49" s="201" t="s">
        <v>242</v>
      </c>
      <c r="E49" s="199">
        <v>14</v>
      </c>
      <c r="F49" s="132"/>
      <c r="G49" s="62"/>
    </row>
    <row r="50" spans="3:8" x14ac:dyDescent="0.3">
      <c r="C50" s="150">
        <v>350</v>
      </c>
      <c r="D50" s="198">
        <v>20</v>
      </c>
      <c r="E50" s="197" t="s">
        <v>240</v>
      </c>
      <c r="F50" s="132"/>
      <c r="G50" s="62"/>
    </row>
    <row r="51" spans="3:8" ht="15" thickBot="1" x14ac:dyDescent="0.35">
      <c r="C51" s="151">
        <v>150</v>
      </c>
      <c r="D51" s="202" t="s">
        <v>243</v>
      </c>
      <c r="E51" s="200" t="s">
        <v>241</v>
      </c>
      <c r="F51" s="62"/>
    </row>
    <row r="53" spans="3:8" x14ac:dyDescent="0.3">
      <c r="C53" s="229" t="s">
        <v>207</v>
      </c>
      <c r="D53" s="230"/>
      <c r="E53" s="230"/>
      <c r="F53" s="230"/>
      <c r="G53" s="230"/>
      <c r="H53" s="231"/>
    </row>
    <row r="54" spans="3:8" ht="15" thickBot="1" x14ac:dyDescent="0.35"/>
    <row r="55" spans="3:8" ht="15" thickBot="1" x14ac:dyDescent="0.35">
      <c r="C55" s="235" t="s">
        <v>239</v>
      </c>
      <c r="D55" s="236"/>
      <c r="E55" s="237"/>
      <c r="F55" s="203"/>
      <c r="G55" s="130"/>
    </row>
    <row r="56" spans="3:8" ht="15" thickBot="1" x14ac:dyDescent="0.35">
      <c r="C56" s="148"/>
      <c r="D56" s="147">
        <v>350</v>
      </c>
      <c r="E56" s="75">
        <v>400</v>
      </c>
      <c r="F56" s="62"/>
      <c r="G56" s="130"/>
    </row>
    <row r="57" spans="3:8" x14ac:dyDescent="0.3">
      <c r="C57" s="149">
        <v>250</v>
      </c>
      <c r="D57" s="201" t="s">
        <v>242</v>
      </c>
      <c r="E57" s="199">
        <v>14</v>
      </c>
      <c r="F57" s="170" t="s">
        <v>208</v>
      </c>
      <c r="G57" s="130"/>
    </row>
    <row r="58" spans="3:8" x14ac:dyDescent="0.3">
      <c r="C58" s="150">
        <v>350</v>
      </c>
      <c r="D58" s="198">
        <v>20</v>
      </c>
      <c r="E58" s="197" t="s">
        <v>240</v>
      </c>
      <c r="F58" s="171" t="s">
        <v>9</v>
      </c>
      <c r="G58" s="130"/>
    </row>
    <row r="59" spans="3:8" ht="15" thickBot="1" x14ac:dyDescent="0.35">
      <c r="C59" s="151">
        <v>150</v>
      </c>
      <c r="D59" s="202" t="s">
        <v>243</v>
      </c>
      <c r="E59" s="200" t="s">
        <v>241</v>
      </c>
      <c r="F59" s="171" t="s">
        <v>245</v>
      </c>
      <c r="G59" s="130"/>
    </row>
    <row r="60" spans="3:8" ht="15" thickBot="1" x14ac:dyDescent="0.35">
      <c r="C60" s="62"/>
      <c r="D60" s="167" t="s">
        <v>244</v>
      </c>
      <c r="E60" s="168" t="s">
        <v>246</v>
      </c>
      <c r="F60" s="194" t="s">
        <v>233</v>
      </c>
      <c r="G60" s="130"/>
    </row>
    <row r="61" spans="3:8" ht="15" thickBot="1" x14ac:dyDescent="0.35">
      <c r="C61" s="130"/>
      <c r="D61" s="130"/>
      <c r="E61" s="130"/>
      <c r="F61" s="130"/>
      <c r="G61" s="62"/>
    </row>
    <row r="62" spans="3:8" ht="15" thickBot="1" x14ac:dyDescent="0.35">
      <c r="C62" s="235" t="s">
        <v>239</v>
      </c>
      <c r="D62" s="236"/>
      <c r="E62" s="237"/>
      <c r="F62" s="203"/>
      <c r="G62" s="130"/>
    </row>
    <row r="63" spans="3:8" ht="15" thickBot="1" x14ac:dyDescent="0.35">
      <c r="C63" s="148"/>
      <c r="D63" s="147">
        <v>350</v>
      </c>
      <c r="E63" s="75">
        <v>400</v>
      </c>
      <c r="F63" s="62"/>
      <c r="G63" s="130"/>
    </row>
    <row r="64" spans="3:8" x14ac:dyDescent="0.3">
      <c r="C64" s="149">
        <v>250</v>
      </c>
      <c r="D64" s="201" t="s">
        <v>242</v>
      </c>
      <c r="E64" s="204">
        <v>4</v>
      </c>
      <c r="F64" s="170" t="s">
        <v>208</v>
      </c>
      <c r="G64" s="130"/>
    </row>
    <row r="65" spans="3:7" x14ac:dyDescent="0.3">
      <c r="C65" s="150">
        <v>350</v>
      </c>
      <c r="D65" s="205">
        <v>4</v>
      </c>
      <c r="E65" s="197" t="s">
        <v>240</v>
      </c>
      <c r="F65" s="171" t="s">
        <v>9</v>
      </c>
      <c r="G65" s="130"/>
    </row>
    <row r="66" spans="3:7" ht="15" thickBot="1" x14ac:dyDescent="0.35">
      <c r="C66" s="151">
        <v>150</v>
      </c>
      <c r="D66" s="202" t="s">
        <v>243</v>
      </c>
      <c r="E66" s="200" t="s">
        <v>241</v>
      </c>
      <c r="F66" s="171" t="s">
        <v>245</v>
      </c>
      <c r="G66" s="130"/>
    </row>
    <row r="67" spans="3:7" ht="15" thickBot="1" x14ac:dyDescent="0.35">
      <c r="C67" s="62"/>
      <c r="D67" s="167" t="s">
        <v>244</v>
      </c>
      <c r="E67" s="168" t="s">
        <v>246</v>
      </c>
      <c r="F67" s="194" t="s">
        <v>233</v>
      </c>
      <c r="G67" s="130"/>
    </row>
    <row r="68" spans="3:7" x14ac:dyDescent="0.3">
      <c r="C68" s="62"/>
      <c r="D68" s="62"/>
      <c r="E68" s="62"/>
      <c r="F68" s="62"/>
      <c r="G68" s="130"/>
    </row>
    <row r="69" spans="3:7" x14ac:dyDescent="0.3">
      <c r="C69" s="130"/>
      <c r="D69" s="130"/>
      <c r="E69" s="130"/>
      <c r="F69" s="130"/>
      <c r="G69" s="62"/>
    </row>
  </sheetData>
  <mergeCells count="17">
    <mergeCell ref="C3:E3"/>
    <mergeCell ref="C4:E4"/>
    <mergeCell ref="C5:E5"/>
    <mergeCell ref="C9:H9"/>
    <mergeCell ref="C11:H11"/>
    <mergeCell ref="L9:U9"/>
    <mergeCell ref="L19:Q19"/>
    <mergeCell ref="L28:Q28"/>
    <mergeCell ref="C21:F21"/>
    <mergeCell ref="C30:F30"/>
    <mergeCell ref="C28:H28"/>
    <mergeCell ref="L11:O11"/>
    <mergeCell ref="C38:F38"/>
    <mergeCell ref="C53:H53"/>
    <mergeCell ref="C47:E47"/>
    <mergeCell ref="C55:E55"/>
    <mergeCell ref="C62:E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Answer Report 1</vt:lpstr>
      <vt:lpstr>Sensitivity Report 1</vt:lpstr>
      <vt:lpstr>Limits Report 1</vt:lpstr>
      <vt:lpstr>Answer Report 2</vt:lpstr>
      <vt:lpstr>Sensitivity Report 2</vt:lpstr>
      <vt:lpstr>Limits Report 2</vt:lpstr>
      <vt:lpstr>Sensitivity Report 3</vt:lpstr>
      <vt:lpstr>Sensitivity Report 4</vt:lpstr>
      <vt:lpstr>ЛР6 Задача 1</vt:lpstr>
      <vt:lpstr>Linearity Report 1</vt:lpstr>
      <vt:lpstr>ЛР6 Задача 2</vt:lpstr>
      <vt:lpstr>Задача 1</vt:lpstr>
      <vt:lpstr>Задача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Naryvonchyk</dc:creator>
  <cp:lastModifiedBy>Andrei Naryvonchyk</cp:lastModifiedBy>
  <dcterms:created xsi:type="dcterms:W3CDTF">2015-06-05T18:17:20Z</dcterms:created>
  <dcterms:modified xsi:type="dcterms:W3CDTF">2025-11-23T15:08:25Z</dcterms:modified>
</cp:coreProperties>
</file>