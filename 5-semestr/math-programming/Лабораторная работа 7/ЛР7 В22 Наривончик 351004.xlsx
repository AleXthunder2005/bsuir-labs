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7\"/>
    </mc:Choice>
  </mc:AlternateContent>
  <xr:revisionPtr revIDLastSave="0" documentId="13_ncr:1_{AA16ADCC-A3EF-47BD-AD6E-BCF53C8D332C}" xr6:coauthVersionLast="47" xr6:coauthVersionMax="47" xr10:uidLastSave="{00000000-0000-0000-0000-000000000000}"/>
  <bookViews>
    <workbookView xWindow="-108" yWindow="-108" windowWidth="23256" windowHeight="12576" tabRatio="394" firstSheet="8" activeTab="8" xr2:uid="{00000000-000D-0000-FFFF-FFFF00000000}"/>
  </bookViews>
  <sheets>
    <sheet name="Answer Report 1" sheetId="2" state="hidden" r:id="rId1"/>
    <sheet name="Sensitivity Report 1" sheetId="3" state="hidden" r:id="rId2"/>
    <sheet name="Limits Report 1" sheetId="4" state="hidden" r:id="rId3"/>
    <sheet name="Answer Report 2" sheetId="5" state="hidden" r:id="rId4"/>
    <sheet name="Sensitivity Report 2" sheetId="6" state="hidden" r:id="rId5"/>
    <sheet name="Limits Report 2" sheetId="7" state="hidden" r:id="rId6"/>
    <sheet name="Sensitivity Report 3" sheetId="11" state="hidden" r:id="rId7"/>
    <sheet name="Sensitivity Report 4" sheetId="12" state="hidden" r:id="rId8"/>
    <sheet name="ЛР7 Задача 1" sheetId="9" r:id="rId9"/>
    <sheet name="ЛР7 Задача 2" sheetId="15" r:id="rId10"/>
    <sheet name="Linearity Report 1" sheetId="14" state="hidden" r:id="rId11"/>
    <sheet name="ЛР6 Задача 2" sheetId="13" state="hidden" r:id="rId12"/>
    <sheet name="Задача 1" sheetId="1" state="hidden" r:id="rId13"/>
    <sheet name="Задача 2" sheetId="8" state="hidden" r:id="rId14"/>
  </sheets>
  <definedNames>
    <definedName name="solver_adj" localSheetId="12" hidden="1">'Задача 1'!$O$88:$R$92</definedName>
    <definedName name="solver_adj" localSheetId="13" hidden="1">'Задача 2'!$M$30:$Q$35</definedName>
    <definedName name="solver_adj" localSheetId="11" hidden="1">'ЛР6 Задача 2'!$E$70:$G$77</definedName>
    <definedName name="solver_adj" localSheetId="8" hidden="1">'ЛР7 Задача 1'!$E$114:$G$124</definedName>
    <definedName name="solver_adj" localSheetId="9" hidden="1">'ЛР7 Задача 2'!$G$28:$G$32</definedName>
    <definedName name="solver_cvg" localSheetId="12" hidden="1">0.0001</definedName>
    <definedName name="solver_cvg" localSheetId="13" hidden="1">0.0001</definedName>
    <definedName name="solver_cvg" localSheetId="11" hidden="1">0.0001</definedName>
    <definedName name="solver_cvg" localSheetId="8" hidden="1">0.0001</definedName>
    <definedName name="solver_cvg" localSheetId="9" hidden="1">0.0001</definedName>
    <definedName name="solver_drv" localSheetId="12" hidden="1">2</definedName>
    <definedName name="solver_drv" localSheetId="13" hidden="1">1</definedName>
    <definedName name="solver_drv" localSheetId="11" hidden="1">1</definedName>
    <definedName name="solver_drv" localSheetId="8" hidden="1">1</definedName>
    <definedName name="solver_drv" localSheetId="9" hidden="1">1</definedName>
    <definedName name="solver_eng" localSheetId="12" hidden="1">2</definedName>
    <definedName name="solver_eng" localSheetId="13" hidden="1">2</definedName>
    <definedName name="solver_eng" localSheetId="11" hidden="1">2</definedName>
    <definedName name="solver_eng" localSheetId="8" hidden="1">1</definedName>
    <definedName name="solver_eng" localSheetId="9" hidden="1">1</definedName>
    <definedName name="solver_est" localSheetId="12" hidden="1">1</definedName>
    <definedName name="solver_est" localSheetId="13" hidden="1">1</definedName>
    <definedName name="solver_est" localSheetId="11" hidden="1">1</definedName>
    <definedName name="solver_est" localSheetId="8" hidden="1">1</definedName>
    <definedName name="solver_est" localSheetId="9" hidden="1">1</definedName>
    <definedName name="solver_itr" localSheetId="12" hidden="1">2147483647</definedName>
    <definedName name="solver_itr" localSheetId="13" hidden="1">2147483647</definedName>
    <definedName name="solver_itr" localSheetId="11" hidden="1">2147483647</definedName>
    <definedName name="solver_itr" localSheetId="8" hidden="1">2147483647</definedName>
    <definedName name="solver_itr" localSheetId="9" hidden="1">2147483647</definedName>
    <definedName name="solver_lhs0" localSheetId="12" hidden="1">'Задача 1'!$O$88:$R$92</definedName>
    <definedName name="solver_lhs1" localSheetId="12" hidden="1">'Задача 1'!$O$88:$R$92</definedName>
    <definedName name="solver_lhs1" localSheetId="13" hidden="1">'Задача 2'!$M$30:$Q$35</definedName>
    <definedName name="solver_lhs1" localSheetId="11" hidden="1">'ЛР6 Задача 2'!$E$73</definedName>
    <definedName name="solver_lhs1" localSheetId="8" hidden="1">'ЛР7 Задача 1'!$E$114:$E$117</definedName>
    <definedName name="solver_lhs1" localSheetId="9" hidden="1">'ЛР7 Задача 2'!$C$36</definedName>
    <definedName name="solver_lhs10" localSheetId="11" hidden="1">'ЛР6 Задача 2'!$H$70:$H$77</definedName>
    <definedName name="solver_lhs10" localSheetId="8" hidden="1">'ЛР7 Задача 1'!$F$123</definedName>
    <definedName name="solver_lhs11" localSheetId="11" hidden="1">'ЛР6 Задача 2'!$H$70:$H$77</definedName>
    <definedName name="solver_lhs11" localSheetId="8" hidden="1">'ЛР7 Задача 1'!$F$124</definedName>
    <definedName name="solver_lhs12" localSheetId="11" hidden="1">'ЛР6 Задача 2'!$L$80</definedName>
    <definedName name="solver_lhs12" localSheetId="8" hidden="1">'ЛР7 Задача 1'!$G$114:$G$124</definedName>
    <definedName name="solver_lhs13" localSheetId="11" hidden="1">'ЛР6 Задача 2'!$L$80</definedName>
    <definedName name="solver_lhs13" localSheetId="8" hidden="1">'ЛР7 Задача 1'!$H$114:$H$124</definedName>
    <definedName name="solver_lhs14" localSheetId="8" hidden="1">'ЛР7 Задача 1'!$H$114:$H$124</definedName>
    <definedName name="solver_lhs2" localSheetId="12" hidden="1">'Задача 1'!$O$93:$R$93</definedName>
    <definedName name="solver_lhs2" localSheetId="13" hidden="1">'Задача 2'!$M$36:$Q$36</definedName>
    <definedName name="solver_lhs2" localSheetId="11" hidden="1">'ЛР6 Задача 2'!$E$74:$E$75</definedName>
    <definedName name="solver_lhs2" localSheetId="8" hidden="1">'ЛР7 Задача 1'!$E$118:$E$119</definedName>
    <definedName name="solver_lhs2" localSheetId="9" hidden="1">'ЛР7 Задача 2'!$G$28:$G$32</definedName>
    <definedName name="solver_lhs3" localSheetId="12" hidden="1">'Задача 1'!$P$90</definedName>
    <definedName name="solver_lhs3" localSheetId="13" hidden="1">'Задача 2'!$R$30:$R$35</definedName>
    <definedName name="solver_lhs3" localSheetId="11" hidden="1">'ЛР6 Задача 2'!$E$74:$E$75</definedName>
    <definedName name="solver_lhs3" localSheetId="8" hidden="1">'ЛР7 Задача 1'!$E$120:$E$121</definedName>
    <definedName name="solver_lhs3" localSheetId="9" hidden="1">'ЛР7 Задача 2'!$G$28:$G$32</definedName>
    <definedName name="solver_lhs4" localSheetId="12" hidden="1">'Задача 1'!$S$88:$S$92</definedName>
    <definedName name="solver_lhs4" localSheetId="11" hidden="1">'ЛР6 Задача 2'!$E$76</definedName>
    <definedName name="solver_lhs4" localSheetId="8" hidden="1">'ЛР7 Задача 1'!$E$122:$E$123</definedName>
    <definedName name="solver_lhs5" localSheetId="12" hidden="1">'Задача 1'!$Q$91</definedName>
    <definedName name="solver_lhs5" localSheetId="11" hidden="1">'ЛР6 Задача 2'!$E$76</definedName>
    <definedName name="solver_lhs5" localSheetId="8" hidden="1">'ЛР7 Задача 1'!$E$122:$E$123</definedName>
    <definedName name="solver_lhs6" localSheetId="11" hidden="1">'ЛР6 Задача 2'!$E$77</definedName>
    <definedName name="solver_lhs6" localSheetId="8" hidden="1">'ЛР7 Задача 1'!$E$122:$E$123</definedName>
    <definedName name="solver_lhs7" localSheetId="11" hidden="1">'ЛР6 Задача 2'!$E$77</definedName>
    <definedName name="solver_lhs7" localSheetId="8" hidden="1">'ЛР7 Задача 1'!$E$124</definedName>
    <definedName name="solver_lhs8" localSheetId="11" hidden="1">'ЛР6 Задача 2'!$E$77</definedName>
    <definedName name="solver_lhs8" localSheetId="8" hidden="1">'ЛР7 Задача 1'!$E$124</definedName>
    <definedName name="solver_lhs9" localSheetId="11" hidden="1">'ЛР6 Задача 2'!$G$70:$G$77</definedName>
    <definedName name="solver_lhs9" localSheetId="8" hidden="1">'ЛР7 Задача 1'!$F$121</definedName>
    <definedName name="solver_mip" localSheetId="12" hidden="1">2147483647</definedName>
    <definedName name="solver_mip" localSheetId="13" hidden="1">2147483647</definedName>
    <definedName name="solver_mip" localSheetId="11" hidden="1">2147483647</definedName>
    <definedName name="solver_mip" localSheetId="8" hidden="1">2147483647</definedName>
    <definedName name="solver_mip" localSheetId="9" hidden="1">2147483647</definedName>
    <definedName name="solver_mni" localSheetId="12" hidden="1">30</definedName>
    <definedName name="solver_mni" localSheetId="13" hidden="1">30</definedName>
    <definedName name="solver_mni" localSheetId="11" hidden="1">30</definedName>
    <definedName name="solver_mni" localSheetId="8" hidden="1">30</definedName>
    <definedName name="solver_mni" localSheetId="9" hidden="1">30</definedName>
    <definedName name="solver_mrt" localSheetId="12" hidden="1">0.075</definedName>
    <definedName name="solver_mrt" localSheetId="13" hidden="1">0.075</definedName>
    <definedName name="solver_mrt" localSheetId="11" hidden="1">0.075</definedName>
    <definedName name="solver_mrt" localSheetId="8" hidden="1">0.075</definedName>
    <definedName name="solver_mrt" localSheetId="9" hidden="1">0.075</definedName>
    <definedName name="solver_msl" localSheetId="12" hidden="1">2</definedName>
    <definedName name="solver_msl" localSheetId="13" hidden="1">2</definedName>
    <definedName name="solver_msl" localSheetId="11" hidden="1">2</definedName>
    <definedName name="solver_msl" localSheetId="8" hidden="1">2</definedName>
    <definedName name="solver_msl" localSheetId="9" hidden="1">2</definedName>
    <definedName name="solver_neg" localSheetId="12" hidden="1">1</definedName>
    <definedName name="solver_neg" localSheetId="13" hidden="1">1</definedName>
    <definedName name="solver_neg" localSheetId="11" hidden="1">1</definedName>
    <definedName name="solver_neg" localSheetId="8" hidden="1">1</definedName>
    <definedName name="solver_neg" localSheetId="9" hidden="1">1</definedName>
    <definedName name="solver_nod" localSheetId="12" hidden="1">2147483647</definedName>
    <definedName name="solver_nod" localSheetId="13" hidden="1">2147483647</definedName>
    <definedName name="solver_nod" localSheetId="11" hidden="1">2147483647</definedName>
    <definedName name="solver_nod" localSheetId="8" hidden="1">2147483647</definedName>
    <definedName name="solver_nod" localSheetId="9" hidden="1">2147483647</definedName>
    <definedName name="solver_num" localSheetId="12" hidden="1">4</definedName>
    <definedName name="solver_num" localSheetId="13" hidden="1">3</definedName>
    <definedName name="solver_num" localSheetId="11" hidden="1">12</definedName>
    <definedName name="solver_num" localSheetId="8" hidden="1">14</definedName>
    <definedName name="solver_num" localSheetId="9" hidden="1">3</definedName>
    <definedName name="solver_nwt" localSheetId="12" hidden="1">1</definedName>
    <definedName name="solver_nwt" localSheetId="13" hidden="1">1</definedName>
    <definedName name="solver_nwt" localSheetId="11" hidden="1">1</definedName>
    <definedName name="solver_nwt" localSheetId="8" hidden="1">1</definedName>
    <definedName name="solver_nwt" localSheetId="9" hidden="1">1</definedName>
    <definedName name="solver_opt" localSheetId="12" hidden="1">'Задача 1'!$O$96</definedName>
    <definedName name="solver_opt" localSheetId="13" hidden="1">'Задача 2'!$S$37</definedName>
    <definedName name="solver_opt" localSheetId="11" hidden="1">'ЛР6 Задача 2'!$L$82</definedName>
    <definedName name="solver_opt" localSheetId="8" hidden="1">'ЛР7 Задача 1'!$L$127</definedName>
    <definedName name="solver_opt" localSheetId="9" hidden="1">'ЛР7 Задача 2'!$C$35</definedName>
    <definedName name="solver_pre" localSheetId="12" hidden="1">0.000001</definedName>
    <definedName name="solver_pre" localSheetId="13" hidden="1">0.000001</definedName>
    <definedName name="solver_pre" localSheetId="11" hidden="1">0.000001</definedName>
    <definedName name="solver_pre" localSheetId="8" hidden="1">0.000001</definedName>
    <definedName name="solver_pre" localSheetId="9" hidden="1">0.000001</definedName>
    <definedName name="solver_rbv" localSheetId="12" hidden="1">2</definedName>
    <definedName name="solver_rbv" localSheetId="13" hidden="1">1</definedName>
    <definedName name="solver_rbv" localSheetId="11" hidden="1">1</definedName>
    <definedName name="solver_rbv" localSheetId="8" hidden="1">1</definedName>
    <definedName name="solver_rbv" localSheetId="9" hidden="1">1</definedName>
    <definedName name="solver_rel0" localSheetId="12" hidden="1">3</definedName>
    <definedName name="solver_rel1" localSheetId="12" hidden="1">3</definedName>
    <definedName name="solver_rel1" localSheetId="13" hidden="1">3</definedName>
    <definedName name="solver_rel1" localSheetId="11" hidden="1">3</definedName>
    <definedName name="solver_rel1" localSheetId="8" hidden="1">2</definedName>
    <definedName name="solver_rel1" localSheetId="9" hidden="1">1</definedName>
    <definedName name="solver_rel10" localSheetId="11" hidden="1">2</definedName>
    <definedName name="solver_rel10" localSheetId="8" hidden="1">1</definedName>
    <definedName name="solver_rel11" localSheetId="11" hidden="1">3</definedName>
    <definedName name="solver_rel11" localSheetId="8" hidden="1">1</definedName>
    <definedName name="solver_rel12" localSheetId="11" hidden="1">1</definedName>
    <definedName name="solver_rel12" localSheetId="8" hidden="1">3</definedName>
    <definedName name="solver_rel13" localSheetId="11" hidden="1">1</definedName>
    <definedName name="solver_rel13" localSheetId="8" hidden="1">2</definedName>
    <definedName name="solver_rel14" localSheetId="8" hidden="1">3</definedName>
    <definedName name="solver_rel2" localSheetId="12" hidden="1">2</definedName>
    <definedName name="solver_rel2" localSheetId="13" hidden="1">2</definedName>
    <definedName name="solver_rel2" localSheetId="11" hidden="1">3</definedName>
    <definedName name="solver_rel2" localSheetId="8" hidden="1">3</definedName>
    <definedName name="solver_rel2" localSheetId="9" hidden="1">4</definedName>
    <definedName name="solver_rel3" localSheetId="12" hidden="1">1</definedName>
    <definedName name="solver_rel3" localSheetId="13" hidden="1">2</definedName>
    <definedName name="solver_rel3" localSheetId="11" hidden="1">3</definedName>
    <definedName name="solver_rel3" localSheetId="8" hidden="1">3</definedName>
    <definedName name="solver_rel3" localSheetId="9" hidden="1">3</definedName>
    <definedName name="solver_rel4" localSheetId="12" hidden="1">2</definedName>
    <definedName name="solver_rel4" localSheetId="11" hidden="1">3</definedName>
    <definedName name="solver_rel4" localSheetId="8" hidden="1">3</definedName>
    <definedName name="solver_rel5" localSheetId="12" hidden="1">3</definedName>
    <definedName name="solver_rel5" localSheetId="11" hidden="1">3</definedName>
    <definedName name="solver_rel5" localSheetId="8" hidden="1">3</definedName>
    <definedName name="solver_rel6" localSheetId="11" hidden="1">2</definedName>
    <definedName name="solver_rel6" localSheetId="8" hidden="1">3</definedName>
    <definedName name="solver_rel7" localSheetId="11" hidden="1">3</definedName>
    <definedName name="solver_rel7" localSheetId="8" hidden="1">3</definedName>
    <definedName name="solver_rel8" localSheetId="11" hidden="1">3</definedName>
    <definedName name="solver_rel8" localSheetId="8" hidden="1">3</definedName>
    <definedName name="solver_rel9" localSheetId="11" hidden="1">3</definedName>
    <definedName name="solver_rel9" localSheetId="8" hidden="1">1</definedName>
    <definedName name="solver_rhs0" localSheetId="12" hidden="1">0</definedName>
    <definedName name="solver_rhs1" localSheetId="12" hidden="1">0</definedName>
    <definedName name="solver_rhs1" localSheetId="13" hidden="1">0</definedName>
    <definedName name="solver_rhs1" localSheetId="11" hidden="1">'ЛР6 Задача 2'!$F$70</definedName>
    <definedName name="solver_rhs1" localSheetId="8" hidden="1">0</definedName>
    <definedName name="solver_rhs1" localSheetId="9" hidden="1">'ЛР7 Задача 2'!$E$36</definedName>
    <definedName name="solver_rhs10" localSheetId="11" hidden="1">'ЛР6 Задача 2'!$M$70:$M$77</definedName>
    <definedName name="solver_rhs10" localSheetId="8" hidden="1">'ЛР7 Задача 1'!$C$123</definedName>
    <definedName name="solver_rhs11" localSheetId="11" hidden="1">'ЛР6 Задача 2'!$J$70:$J$77</definedName>
    <definedName name="solver_rhs11" localSheetId="8" hidden="1">'ЛР7 Задача 1'!$C$124</definedName>
    <definedName name="solver_rhs12" localSheetId="11" hidden="1">33</definedName>
    <definedName name="solver_rhs12" localSheetId="8" hidden="1">0</definedName>
    <definedName name="solver_rhs13" localSheetId="11" hidden="1">33</definedName>
    <definedName name="solver_rhs13" localSheetId="8" hidden="1">'ЛР7 Задача 1'!$M$114:$M$124</definedName>
    <definedName name="solver_rhs14" localSheetId="8" hidden="1">'ЛР7 Задача 1'!$J$114:$J$124</definedName>
    <definedName name="solver_rhs2" localSheetId="12" hidden="1">'Задача 1'!$O$94:$R$94</definedName>
    <definedName name="solver_rhs2" localSheetId="13" hidden="1">'Задача 2'!$M$37:$Q$37</definedName>
    <definedName name="solver_rhs2" localSheetId="11" hidden="1">'ЛР6 Задача 2'!$F$71</definedName>
    <definedName name="solver_rhs2" localSheetId="8" hidden="1">'ЛР7 Задача 1'!$F$114</definedName>
    <definedName name="solver_rhs2" localSheetId="9" hidden="1">"integer"</definedName>
    <definedName name="solver_rhs3" localSheetId="12" hidden="1">100</definedName>
    <definedName name="solver_rhs3" localSheetId="13" hidden="1">'Задача 2'!$S$30:$S$35</definedName>
    <definedName name="solver_rhs3" localSheetId="11" hidden="1">'ЛР6 Задача 2'!$F$73</definedName>
    <definedName name="solver_rhs3" localSheetId="8" hidden="1">'ЛР7 Задача 1'!$F$115</definedName>
    <definedName name="solver_rhs3" localSheetId="9" hidden="1">1</definedName>
    <definedName name="solver_rhs4" localSheetId="12" hidden="1">'Задача 1'!$T$88:$T$92</definedName>
    <definedName name="solver_rhs4" localSheetId="11" hidden="1">'ЛР6 Задача 2'!$F$72</definedName>
    <definedName name="solver_rhs4" localSheetId="8" hidden="1">'ЛР7 Задача 1'!$F$117</definedName>
    <definedName name="solver_rhs5" localSheetId="12" hidden="1">100</definedName>
    <definedName name="solver_rhs5" localSheetId="11" hidden="1">'ЛР6 Задача 2'!$F$74</definedName>
    <definedName name="solver_rhs5" localSheetId="8" hidden="1">'ЛР7 Задача 1'!$F$118</definedName>
    <definedName name="solver_rhs6" localSheetId="11" hidden="1">'ЛР6 Задача 2'!$F$77</definedName>
    <definedName name="solver_rhs6" localSheetId="8" hidden="1">'ЛР7 Задача 1'!$F$120</definedName>
    <definedName name="solver_rhs7" localSheetId="11" hidden="1">'ЛР6 Задача 2'!$F$75</definedName>
    <definedName name="solver_rhs7" localSheetId="8" hidden="1">'ЛР7 Задача 1'!$F$119</definedName>
    <definedName name="solver_rhs8" localSheetId="11" hidden="1">'ЛР6 Задача 2'!$F$76</definedName>
    <definedName name="solver_rhs8" localSheetId="8" hidden="1">'ЛР7 Задача 1'!$F$122</definedName>
    <definedName name="solver_rhs9" localSheetId="11" hidden="1">0</definedName>
    <definedName name="solver_rhs9" localSheetId="8" hidden="1">'ЛР7 Задача 1'!$C$121</definedName>
    <definedName name="solver_rlx" localSheetId="12" hidden="1">2</definedName>
    <definedName name="solver_rlx" localSheetId="13" hidden="1">2</definedName>
    <definedName name="solver_rlx" localSheetId="11" hidden="1">2</definedName>
    <definedName name="solver_rlx" localSheetId="8" hidden="1">2</definedName>
    <definedName name="solver_rlx" localSheetId="9" hidden="1">2</definedName>
    <definedName name="solver_rsd" localSheetId="12" hidden="1">0</definedName>
    <definedName name="solver_rsd" localSheetId="13" hidden="1">0</definedName>
    <definedName name="solver_rsd" localSheetId="11" hidden="1">0</definedName>
    <definedName name="solver_rsd" localSheetId="8" hidden="1">0</definedName>
    <definedName name="solver_rsd" localSheetId="9" hidden="1">0</definedName>
    <definedName name="solver_scl" localSheetId="12" hidden="1">2</definedName>
    <definedName name="solver_scl" localSheetId="13" hidden="1">1</definedName>
    <definedName name="solver_scl" localSheetId="11" hidden="1">1</definedName>
    <definedName name="solver_scl" localSheetId="8" hidden="1">1</definedName>
    <definedName name="solver_scl" localSheetId="9" hidden="1">1</definedName>
    <definedName name="solver_sho" localSheetId="2" hidden="1">2</definedName>
    <definedName name="solver_sho" localSheetId="5" hidden="1">2</definedName>
    <definedName name="solver_sho" localSheetId="12" hidden="1">2</definedName>
    <definedName name="solver_sho" localSheetId="13" hidden="1">2</definedName>
    <definedName name="solver_sho" localSheetId="11" hidden="1">2</definedName>
    <definedName name="solver_sho" localSheetId="8" hidden="1">2</definedName>
    <definedName name="solver_sho" localSheetId="9" hidden="1">2</definedName>
    <definedName name="solver_ssz" localSheetId="12" hidden="1">100</definedName>
    <definedName name="solver_ssz" localSheetId="13" hidden="1">100</definedName>
    <definedName name="solver_ssz" localSheetId="11" hidden="1">100</definedName>
    <definedName name="solver_ssz" localSheetId="8" hidden="1">100</definedName>
    <definedName name="solver_ssz" localSheetId="9" hidden="1">100</definedName>
    <definedName name="solver_tim" localSheetId="12" hidden="1">2147483647</definedName>
    <definedName name="solver_tim" localSheetId="13" hidden="1">2147483647</definedName>
    <definedName name="solver_tim" localSheetId="11" hidden="1">2147483647</definedName>
    <definedName name="solver_tim" localSheetId="8" hidden="1">2147483647</definedName>
    <definedName name="solver_tim" localSheetId="9" hidden="1">2147483647</definedName>
    <definedName name="solver_tol" localSheetId="12" hidden="1">0.01</definedName>
    <definedName name="solver_tol" localSheetId="13" hidden="1">0.01</definedName>
    <definedName name="solver_tol" localSheetId="11" hidden="1">0.01</definedName>
    <definedName name="solver_tol" localSheetId="8" hidden="1">0.01</definedName>
    <definedName name="solver_tol" localSheetId="9" hidden="1">0.01</definedName>
    <definedName name="solver_typ" localSheetId="12" hidden="1">2</definedName>
    <definedName name="solver_typ" localSheetId="13" hidden="1">2</definedName>
    <definedName name="solver_typ" localSheetId="11" hidden="1">2</definedName>
    <definedName name="solver_typ" localSheetId="8" hidden="1">2</definedName>
    <definedName name="solver_typ" localSheetId="9" hidden="1">2</definedName>
    <definedName name="solver_val" localSheetId="12" hidden="1">0</definedName>
    <definedName name="solver_val" localSheetId="13" hidden="1">0</definedName>
    <definedName name="solver_val" localSheetId="11" hidden="1">0</definedName>
    <definedName name="solver_val" localSheetId="8" hidden="1">0</definedName>
    <definedName name="solver_val" localSheetId="9" hidden="1">0</definedName>
    <definedName name="solver_ver" localSheetId="12" hidden="1">3</definedName>
    <definedName name="solver_ver" localSheetId="13" hidden="1">3</definedName>
    <definedName name="solver_ver" localSheetId="11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8" i="9" l="1"/>
  <c r="H149" i="9"/>
  <c r="H150" i="9"/>
  <c r="H151" i="9"/>
  <c r="H147" i="9"/>
  <c r="I27" i="9"/>
  <c r="C49" i="15"/>
  <c r="D43" i="15"/>
  <c r="H43" i="15"/>
  <c r="H40" i="15"/>
  <c r="D40" i="15"/>
  <c r="J32" i="15"/>
  <c r="I32" i="15"/>
  <c r="H32" i="15"/>
  <c r="J31" i="15"/>
  <c r="I31" i="15"/>
  <c r="H31" i="15"/>
  <c r="J30" i="15"/>
  <c r="I30" i="15"/>
  <c r="H30" i="15"/>
  <c r="J29" i="15"/>
  <c r="I29" i="15"/>
  <c r="H29" i="15"/>
  <c r="J28" i="15"/>
  <c r="I28" i="15"/>
  <c r="H28" i="15"/>
  <c r="H15" i="15"/>
  <c r="C23" i="15"/>
  <c r="C22" i="15"/>
  <c r="G15" i="15"/>
  <c r="J15" i="15" s="1"/>
  <c r="G16" i="15"/>
  <c r="H16" i="15" s="1"/>
  <c r="G17" i="15"/>
  <c r="J17" i="15" s="1"/>
  <c r="G18" i="15"/>
  <c r="J18" i="15" s="1"/>
  <c r="G19" i="15"/>
  <c r="H19" i="15" s="1"/>
  <c r="I127" i="9"/>
  <c r="I128" i="9" s="1"/>
  <c r="I129" i="9" s="1"/>
  <c r="O118" i="9"/>
  <c r="D127" i="9" s="1"/>
  <c r="G127" i="9" s="1"/>
  <c r="M118" i="9"/>
  <c r="C127" i="9" s="1"/>
  <c r="E127" i="9" s="1"/>
  <c r="C113" i="9"/>
  <c r="C110" i="9"/>
  <c r="C109" i="9"/>
  <c r="D103" i="9"/>
  <c r="T87" i="9"/>
  <c r="C107" i="9" s="1"/>
  <c r="C99" i="9"/>
  <c r="E99" i="9" s="1"/>
  <c r="D99" i="9"/>
  <c r="C100" i="9" s="1"/>
  <c r="E100" i="9" s="1"/>
  <c r="C79" i="9"/>
  <c r="C81" i="9" s="1"/>
  <c r="C78" i="9"/>
  <c r="C80" i="9" s="1"/>
  <c r="D71" i="9"/>
  <c r="G71" i="9" s="1"/>
  <c r="C70" i="9"/>
  <c r="E70" i="9" s="1"/>
  <c r="C69" i="9"/>
  <c r="E69" i="9" s="1"/>
  <c r="D76" i="9"/>
  <c r="G76" i="9" s="1"/>
  <c r="C76" i="9"/>
  <c r="E76" i="9" s="1"/>
  <c r="D75" i="9"/>
  <c r="G75" i="9" s="1"/>
  <c r="C75" i="9"/>
  <c r="E75" i="9" s="1"/>
  <c r="D74" i="9"/>
  <c r="G74" i="9" s="1"/>
  <c r="C74" i="9"/>
  <c r="E74" i="9" s="1"/>
  <c r="D73" i="9"/>
  <c r="G73" i="9" s="1"/>
  <c r="C73" i="9"/>
  <c r="E73" i="9" s="1"/>
  <c r="D72" i="9"/>
  <c r="G72" i="9" s="1"/>
  <c r="C72" i="9"/>
  <c r="E72" i="9" s="1"/>
  <c r="D70" i="9"/>
  <c r="G70" i="9" s="1"/>
  <c r="D69" i="9"/>
  <c r="G69" i="9" s="1"/>
  <c r="S52" i="9"/>
  <c r="S53" i="9" s="1"/>
  <c r="C41" i="9"/>
  <c r="C42" i="9" s="1"/>
  <c r="S41" i="9"/>
  <c r="S42" i="9" s="1"/>
  <c r="R41" i="9"/>
  <c r="Q41" i="9"/>
  <c r="Q42" i="9" s="1"/>
  <c r="P41" i="9"/>
  <c r="P42" i="9" s="1"/>
  <c r="O41" i="9"/>
  <c r="O42" i="9" s="1"/>
  <c r="N41" i="9"/>
  <c r="N42" i="9" s="1"/>
  <c r="M41" i="9"/>
  <c r="M42" i="9" s="1"/>
  <c r="L41" i="9"/>
  <c r="L42" i="9" s="1"/>
  <c r="K41" i="9"/>
  <c r="K42" i="9" s="1"/>
  <c r="J41" i="9"/>
  <c r="J42" i="9" s="1"/>
  <c r="I41" i="9"/>
  <c r="I42" i="9" s="1"/>
  <c r="H41" i="9"/>
  <c r="H42" i="9" s="1"/>
  <c r="G41" i="9"/>
  <c r="G42" i="9" s="1"/>
  <c r="F41" i="9"/>
  <c r="F42" i="9" s="1"/>
  <c r="E41" i="9"/>
  <c r="E42" i="9" s="1"/>
  <c r="D41" i="9"/>
  <c r="D42" i="9" s="1"/>
  <c r="R26" i="9"/>
  <c r="R27" i="9" s="1"/>
  <c r="Q26" i="9"/>
  <c r="Q27" i="9" s="1"/>
  <c r="P26" i="9"/>
  <c r="P27" i="9" s="1"/>
  <c r="O26" i="9"/>
  <c r="O27" i="9" s="1"/>
  <c r="N26" i="9"/>
  <c r="N27" i="9" s="1"/>
  <c r="M26" i="9"/>
  <c r="M27" i="9" s="1"/>
  <c r="L26" i="9"/>
  <c r="L27" i="9" s="1"/>
  <c r="K26" i="9"/>
  <c r="K27" i="9" s="1"/>
  <c r="J26" i="9"/>
  <c r="J27" i="9" s="1"/>
  <c r="I26" i="9"/>
  <c r="H26" i="9"/>
  <c r="H27" i="9" s="1"/>
  <c r="G26" i="9"/>
  <c r="G27" i="9" s="1"/>
  <c r="F26" i="9"/>
  <c r="F27" i="9" s="1"/>
  <c r="E26" i="9"/>
  <c r="E27" i="9" s="1"/>
  <c r="D26" i="9"/>
  <c r="D27" i="9" s="1"/>
  <c r="C26" i="9"/>
  <c r="C27" i="9" s="1"/>
  <c r="C128" i="9" l="1"/>
  <c r="I33" i="15"/>
  <c r="J33" i="15"/>
  <c r="C36" i="15" s="1"/>
  <c r="H33" i="15"/>
  <c r="I19" i="15"/>
  <c r="H17" i="15"/>
  <c r="I17" i="15"/>
  <c r="J19" i="15"/>
  <c r="H18" i="15"/>
  <c r="I16" i="15"/>
  <c r="J16" i="15"/>
  <c r="I18" i="15"/>
  <c r="I15" i="15"/>
  <c r="I20" i="15" s="1"/>
  <c r="C104" i="9"/>
  <c r="D102" i="9"/>
  <c r="D105" i="9"/>
  <c r="H127" i="9"/>
  <c r="D108" i="9"/>
  <c r="F127" i="9"/>
  <c r="C103" i="9"/>
  <c r="D104" i="9" s="1"/>
  <c r="D110" i="9"/>
  <c r="C111" i="9" s="1"/>
  <c r="D111" i="9"/>
  <c r="C112" i="9"/>
  <c r="D101" i="9"/>
  <c r="G101" i="9" s="1"/>
  <c r="D113" i="9"/>
  <c r="G99" i="9"/>
  <c r="C106" i="9"/>
  <c r="D107" i="9" s="1"/>
  <c r="C29" i="9"/>
  <c r="F79" i="9"/>
  <c r="F81" i="9" s="1"/>
  <c r="F78" i="9"/>
  <c r="F80" i="9" s="1"/>
  <c r="H99" i="9"/>
  <c r="D100" i="9" s="1"/>
  <c r="G100" i="9" s="1"/>
  <c r="C44" i="9"/>
  <c r="R42" i="9"/>
  <c r="C31" i="9"/>
  <c r="C71" i="9"/>
  <c r="E71" i="9" s="1"/>
  <c r="J52" i="9"/>
  <c r="J53" i="9" s="1"/>
  <c r="I52" i="9"/>
  <c r="K52" i="9"/>
  <c r="K53" i="9" s="1"/>
  <c r="L52" i="9"/>
  <c r="L53" i="9" s="1"/>
  <c r="M52" i="9"/>
  <c r="M53" i="9" s="1"/>
  <c r="N52" i="9"/>
  <c r="N53" i="9" s="1"/>
  <c r="H52" i="9"/>
  <c r="H53" i="9" s="1"/>
  <c r="C52" i="9"/>
  <c r="C53" i="9" s="1"/>
  <c r="O52" i="9"/>
  <c r="O53" i="9" s="1"/>
  <c r="D52" i="9"/>
  <c r="D53" i="9" s="1"/>
  <c r="P52" i="9"/>
  <c r="P53" i="9" s="1"/>
  <c r="Q52" i="9"/>
  <c r="Q53" i="9" s="1"/>
  <c r="E52" i="9"/>
  <c r="E53" i="9" s="1"/>
  <c r="F52" i="9"/>
  <c r="F53" i="9" s="1"/>
  <c r="R52" i="9"/>
  <c r="G52" i="9"/>
  <c r="G53" i="9" s="1"/>
  <c r="R17" i="9"/>
  <c r="R18" i="9" s="1"/>
  <c r="Q17" i="9"/>
  <c r="Q18" i="9" s="1"/>
  <c r="P17" i="9"/>
  <c r="P18" i="9" s="1"/>
  <c r="O17" i="9"/>
  <c r="O18" i="9" s="1"/>
  <c r="N17" i="9"/>
  <c r="N18" i="9" s="1"/>
  <c r="M17" i="9"/>
  <c r="M18" i="9" s="1"/>
  <c r="L17" i="9"/>
  <c r="L18" i="9" s="1"/>
  <c r="K17" i="9"/>
  <c r="K18" i="9" s="1"/>
  <c r="J17" i="9"/>
  <c r="J18" i="9" s="1"/>
  <c r="I17" i="9"/>
  <c r="I18" i="9" s="1"/>
  <c r="H17" i="9"/>
  <c r="H18" i="9" s="1"/>
  <c r="G17" i="9"/>
  <c r="G18" i="9" s="1"/>
  <c r="F17" i="9"/>
  <c r="F18" i="9" s="1"/>
  <c r="E17" i="9"/>
  <c r="E18" i="9" s="1"/>
  <c r="D17" i="9"/>
  <c r="D18" i="9" s="1"/>
  <c r="C17" i="9"/>
  <c r="C18" i="9" s="1"/>
  <c r="H71" i="13"/>
  <c r="H72" i="13"/>
  <c r="H73" i="13"/>
  <c r="H74" i="13"/>
  <c r="H75" i="13"/>
  <c r="H76" i="13"/>
  <c r="H77" i="13"/>
  <c r="H70" i="13"/>
  <c r="L80" i="13"/>
  <c r="M70" i="13"/>
  <c r="L82" i="13"/>
  <c r="M77" i="13"/>
  <c r="M76" i="13"/>
  <c r="M75" i="13"/>
  <c r="M74" i="13"/>
  <c r="M73" i="13"/>
  <c r="M72" i="13"/>
  <c r="M71" i="13"/>
  <c r="C35" i="15" l="1"/>
  <c r="J20" i="15"/>
  <c r="H20" i="15"/>
  <c r="D128" i="9"/>
  <c r="G128" i="9" s="1"/>
  <c r="E128" i="9"/>
  <c r="E102" i="9"/>
  <c r="I53" i="9"/>
  <c r="C57" i="9"/>
  <c r="R53" i="9"/>
  <c r="C55" i="9" s="1"/>
  <c r="S37" i="8"/>
  <c r="Q36" i="8"/>
  <c r="N36" i="8"/>
  <c r="O36" i="8"/>
  <c r="P36" i="8"/>
  <c r="M36" i="8"/>
  <c r="R35" i="8"/>
  <c r="R31" i="8"/>
  <c r="R32" i="8"/>
  <c r="R33" i="8"/>
  <c r="R34" i="8"/>
  <c r="R30" i="8"/>
  <c r="O96" i="1"/>
  <c r="R93" i="1"/>
  <c r="Q93" i="1"/>
  <c r="P93" i="1"/>
  <c r="O93" i="1"/>
  <c r="S92" i="1"/>
  <c r="S91" i="1"/>
  <c r="S90" i="1"/>
  <c r="S89" i="1"/>
  <c r="S88" i="1"/>
  <c r="D96" i="1"/>
  <c r="E93" i="1"/>
  <c r="D93" i="1"/>
  <c r="H92" i="1"/>
  <c r="H91" i="1"/>
  <c r="H88" i="1"/>
  <c r="G93" i="1"/>
  <c r="F93" i="1"/>
  <c r="H90" i="1"/>
  <c r="H89" i="1"/>
  <c r="D129" i="9" l="1"/>
  <c r="G129" i="9" s="1"/>
  <c r="C101" i="9"/>
  <c r="E101" i="9" s="1"/>
  <c r="F128" i="9" l="1"/>
  <c r="C129" i="9"/>
  <c r="C105" i="9"/>
  <c r="D106" i="9" s="1"/>
  <c r="G102" i="9"/>
  <c r="E129" i="9" l="1"/>
  <c r="F129" i="9" s="1"/>
  <c r="G103" i="9"/>
  <c r="E103" i="9"/>
  <c r="D130" i="9" l="1"/>
  <c r="G130" i="9" s="1"/>
  <c r="C130" i="9"/>
  <c r="G104" i="9"/>
  <c r="E104" i="9"/>
  <c r="E130" i="9" l="1"/>
  <c r="F130" i="9" s="1"/>
  <c r="E105" i="9"/>
  <c r="G105" i="9"/>
  <c r="D131" i="9" l="1"/>
  <c r="G131" i="9" s="1"/>
  <c r="C131" i="9"/>
  <c r="E131" i="9" s="1"/>
  <c r="E106" i="9"/>
  <c r="F131" i="9" l="1"/>
  <c r="G107" i="9"/>
  <c r="G106" i="9"/>
  <c r="C132" i="9" l="1"/>
  <c r="D132" i="9"/>
  <c r="G132" i="9" s="1"/>
  <c r="C108" i="9"/>
  <c r="E108" i="9" s="1"/>
  <c r="E132" i="9" l="1"/>
  <c r="F132" i="9" s="1"/>
  <c r="C133" i="9"/>
  <c r="D133" i="9" l="1"/>
  <c r="G133" i="9" s="1"/>
  <c r="E133" i="9"/>
  <c r="G108" i="9"/>
  <c r="E107" i="9"/>
  <c r="G109" i="9"/>
  <c r="F133" i="9" l="1"/>
  <c r="D134" i="9"/>
  <c r="G134" i="9" s="1"/>
  <c r="C134" i="9"/>
  <c r="E134" i="9" s="1"/>
  <c r="E109" i="9"/>
  <c r="E110" i="9"/>
  <c r="G110" i="9"/>
  <c r="F134" i="9" l="1"/>
  <c r="G111" i="9"/>
  <c r="E111" i="9"/>
  <c r="F111" i="9" l="1"/>
  <c r="C135" i="9"/>
  <c r="D135" i="9"/>
  <c r="G135" i="9" s="1"/>
  <c r="G112" i="9"/>
  <c r="E112" i="9"/>
  <c r="F112" i="9" l="1"/>
  <c r="E135" i="9"/>
  <c r="F135" i="9" s="1"/>
  <c r="G113" i="9"/>
  <c r="L98" i="9"/>
  <c r="L100" i="9" s="1"/>
  <c r="E113" i="9"/>
  <c r="F113" i="9" s="1"/>
  <c r="C136" i="9" l="1"/>
  <c r="E136" i="9" s="1"/>
  <c r="D136" i="9"/>
  <c r="G136" i="9" s="1"/>
  <c r="L99" i="9"/>
  <c r="L101" i="9" s="1"/>
  <c r="D137" i="9" l="1"/>
  <c r="G137" i="9" s="1"/>
  <c r="F136" i="9"/>
  <c r="C137" i="9"/>
  <c r="E137" i="9" l="1"/>
  <c r="F137" i="9" s="1"/>
  <c r="D138" i="9" l="1"/>
  <c r="G138" i="9" s="1"/>
  <c r="C138" i="9"/>
  <c r="E138" i="9" s="1"/>
  <c r="D139" i="9" l="1"/>
  <c r="G139" i="9" s="1"/>
  <c r="F138" i="9" l="1"/>
  <c r="C139" i="9"/>
  <c r="E139" i="9" l="1"/>
  <c r="F139" i="9" s="1"/>
  <c r="C140" i="9" l="1"/>
  <c r="D140" i="9"/>
  <c r="G140" i="9" l="1"/>
  <c r="L130" i="9"/>
  <c r="L132" i="9" s="1"/>
  <c r="E140" i="9"/>
  <c r="F140" i="9" s="1"/>
  <c r="L126" i="9"/>
  <c r="L128" i="9" s="1"/>
  <c r="C141" i="9" l="1"/>
  <c r="D141" i="9"/>
  <c r="G141" i="9" s="1"/>
  <c r="E141" i="9" l="1"/>
  <c r="L131" i="9"/>
  <c r="L133" i="9" s="1"/>
  <c r="L127" i="9"/>
  <c r="L129" i="9" s="1"/>
  <c r="F141" i="9"/>
</calcChain>
</file>

<file path=xl/sharedStrings.xml><?xml version="1.0" encoding="utf-8"?>
<sst xmlns="http://schemas.openxmlformats.org/spreadsheetml/2006/main" count="1588" uniqueCount="507">
  <si>
    <t>Наривончик Александр</t>
  </si>
  <si>
    <t>Вариант 22</t>
  </si>
  <si>
    <t>Задание 2</t>
  </si>
  <si>
    <t>ai\bj</t>
  </si>
  <si>
    <t>Метод минимального элемента</t>
  </si>
  <si>
    <t>1              150</t>
  </si>
  <si>
    <t>2           150</t>
  </si>
  <si>
    <t>Метод потенциалов</t>
  </si>
  <si>
    <t xml:space="preserve">Ui 
Vi       </t>
  </si>
  <si>
    <t>u2 = 0</t>
  </si>
  <si>
    <t>v1 = 6</t>
  </si>
  <si>
    <t>v3 = 8</t>
  </si>
  <si>
    <t>u1 = -2</t>
  </si>
  <si>
    <t>u5 = -8</t>
  </si>
  <si>
    <t>1               0</t>
  </si>
  <si>
    <t>4                50</t>
  </si>
  <si>
    <t>8             100</t>
  </si>
  <si>
    <t>4                  0</t>
  </si>
  <si>
    <t>4                 50</t>
  </si>
  <si>
    <t>6                0</t>
  </si>
  <si>
    <t>0                 100</t>
  </si>
  <si>
    <t>u4 = -4</t>
  </si>
  <si>
    <t>v2 = 6</t>
  </si>
  <si>
    <t>u3 = -5</t>
  </si>
  <si>
    <t>v4 = 6</t>
  </si>
  <si>
    <t>3           100</t>
  </si>
  <si>
    <t>4                  100</t>
  </si>
  <si>
    <t>2            50</t>
  </si>
  <si>
    <t>v2 = 3</t>
  </si>
  <si>
    <t>u3 = -2</t>
  </si>
  <si>
    <t>u4 = -1</t>
  </si>
  <si>
    <t>v3 = 5</t>
  </si>
  <si>
    <t>u5 = -5</t>
  </si>
  <si>
    <t>u1 = 1</t>
  </si>
  <si>
    <t>v1 = 3</t>
  </si>
  <si>
    <t>v4 = 3</t>
  </si>
  <si>
    <t>Оптимальный план</t>
  </si>
  <si>
    <t>b1</t>
  </si>
  <si>
    <t>b2</t>
  </si>
  <si>
    <t>b3</t>
  </si>
  <si>
    <t>b4</t>
  </si>
  <si>
    <t>a1</t>
  </si>
  <si>
    <t>a2</t>
  </si>
  <si>
    <t>a3</t>
  </si>
  <si>
    <t>a4</t>
  </si>
  <si>
    <t>a5</t>
  </si>
  <si>
    <t>Σ(ai)</t>
  </si>
  <si>
    <t>Σ(bi)</t>
  </si>
  <si>
    <t>Спрос</t>
  </si>
  <si>
    <t>Z(X)</t>
  </si>
  <si>
    <t>Решение на компьютере</t>
  </si>
  <si>
    <t>Предложение</t>
  </si>
  <si>
    <t>Microsoft Excel 16.0 Answer Report</t>
  </si>
  <si>
    <t>Worksheet: [ЛР3.xlsx]Sheet1</t>
  </si>
  <si>
    <t>Report Created: 31.10.2025 20:50:25</t>
  </si>
  <si>
    <t>Result: Solver found a solution.  All Constraints and optimality conditions are satisfied.</t>
  </si>
  <si>
    <t>Solver Engine</t>
  </si>
  <si>
    <t>Engine: GRG Nonlinear</t>
  </si>
  <si>
    <t>Solution Time: 0,437 Seconds.</t>
  </si>
  <si>
    <t>Iterations: 22 Subproblems: 0</t>
  </si>
  <si>
    <t>Solver Options</t>
  </si>
  <si>
    <t>Max Time Unlimited,  Iterations Unlimited, Precision 0,000001</t>
  </si>
  <si>
    <t xml:space="preserve"> Convergence 0,0001,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</si>
  <si>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</si>
  <si>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</si>
  <si>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</si>
  <si>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</si>
  <si>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</si>
  <si>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</si>
  <si>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</si>
  <si>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</si>
  <si>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</si>
  <si>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</si>
  <si>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</si>
  <si>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</si>
  <si>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</si>
  <si>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$D$98</t>
  </si>
  <si>
    <t>Z(X) b1</t>
  </si>
  <si>
    <t>$D$88</t>
  </si>
  <si>
    <t>a1 b1</t>
  </si>
  <si>
    <t>Contin</t>
  </si>
  <si>
    <t>$E$88</t>
  </si>
  <si>
    <t>a1 b2</t>
  </si>
  <si>
    <t>$F$88</t>
  </si>
  <si>
    <t>a1 b3</t>
  </si>
  <si>
    <t>$G$88</t>
  </si>
  <si>
    <t>a1 b4</t>
  </si>
  <si>
    <t>$D$89</t>
  </si>
  <si>
    <t>a2 b1</t>
  </si>
  <si>
    <t>$E$89</t>
  </si>
  <si>
    <t>a2 b2</t>
  </si>
  <si>
    <t>$F$89</t>
  </si>
  <si>
    <t>a2 b3</t>
  </si>
  <si>
    <t>$G$89</t>
  </si>
  <si>
    <t>a2 b4</t>
  </si>
  <si>
    <t>$D$90</t>
  </si>
  <si>
    <t>a3 b1</t>
  </si>
  <si>
    <t>$E$90</t>
  </si>
  <si>
    <t>a3 b2</t>
  </si>
  <si>
    <t>$F$90</t>
  </si>
  <si>
    <t>a3 b3</t>
  </si>
  <si>
    <t>$G$90</t>
  </si>
  <si>
    <t>a3 b4</t>
  </si>
  <si>
    <t>$D$91</t>
  </si>
  <si>
    <t>a4 b1</t>
  </si>
  <si>
    <t>$E$91</t>
  </si>
  <si>
    <t>a4 b2</t>
  </si>
  <si>
    <t>$F$91</t>
  </si>
  <si>
    <t>a4 b3</t>
  </si>
  <si>
    <t>$G$91</t>
  </si>
  <si>
    <t>a4 b4</t>
  </si>
  <si>
    <t>$D$92</t>
  </si>
  <si>
    <t>a5 b1</t>
  </si>
  <si>
    <t>$E$92</t>
  </si>
  <si>
    <t>a5 b2</t>
  </si>
  <si>
    <t>$F$92</t>
  </si>
  <si>
    <t>a5 b3</t>
  </si>
  <si>
    <t>$G$92</t>
  </si>
  <si>
    <t>a5 b4</t>
  </si>
  <si>
    <t>$D$93</t>
  </si>
  <si>
    <t>Σ(bi) b1</t>
  </si>
  <si>
    <t>$D$93=$D$94</t>
  </si>
  <si>
    <t>Binding</t>
  </si>
  <si>
    <t>$E$93</t>
  </si>
  <si>
    <t>Σ(bi) b2</t>
  </si>
  <si>
    <t>$E$93=$E$94</t>
  </si>
  <si>
    <t>$F$93</t>
  </si>
  <si>
    <t>Σ(bi) b3</t>
  </si>
  <si>
    <t>$F$93=$F$94</t>
  </si>
  <si>
    <t>$G$93</t>
  </si>
  <si>
    <t>Σ(bi) b4</t>
  </si>
  <si>
    <t>$G$93=$G$94</t>
  </si>
  <si>
    <t>$H$88</t>
  </si>
  <si>
    <t>a1 Σ(ai)</t>
  </si>
  <si>
    <t>$H$88=$I$88</t>
  </si>
  <si>
    <t>$H$89</t>
  </si>
  <si>
    <t>a2 Σ(ai)</t>
  </si>
  <si>
    <t>$H$89=$I$89</t>
  </si>
  <si>
    <t>$H$90</t>
  </si>
  <si>
    <t>a3 Σ(ai)</t>
  </si>
  <si>
    <t>$H$90=$I$90</t>
  </si>
  <si>
    <t>$H$91</t>
  </si>
  <si>
    <t>a4 Σ(ai)</t>
  </si>
  <si>
    <t>$H$91=$I$91</t>
  </si>
  <si>
    <t>$H$92</t>
  </si>
  <si>
    <t>a5 Σ(ai)</t>
  </si>
  <si>
    <t>$H$92=$I$92</t>
  </si>
  <si>
    <t>$D$88&gt;=0</t>
  </si>
  <si>
    <t>Not Binding</t>
  </si>
  <si>
    <t>$E$88&gt;=0</t>
  </si>
  <si>
    <t>$F$88&gt;=0</t>
  </si>
  <si>
    <t>$G$88&gt;=0</t>
  </si>
  <si>
    <t>$D$89&gt;=0</t>
  </si>
  <si>
    <t>$E$89&gt;=0</t>
  </si>
  <si>
    <t>$F$89&gt;=0</t>
  </si>
  <si>
    <t>$G$89&gt;=0</t>
  </si>
  <si>
    <t>$D$90&gt;=0</t>
  </si>
  <si>
    <t>$E$90&gt;=0</t>
  </si>
  <si>
    <t>$F$90&gt;=0</t>
  </si>
  <si>
    <t>$G$90&gt;=0</t>
  </si>
  <si>
    <t>$D$91&gt;=0</t>
  </si>
  <si>
    <t>$E$91&gt;=0</t>
  </si>
  <si>
    <t>$F$91&gt;=0</t>
  </si>
  <si>
    <t>$G$91&gt;=0</t>
  </si>
  <si>
    <t>$D$92&gt;=0</t>
  </si>
  <si>
    <t>$E$92&gt;=0</t>
  </si>
  <si>
    <t>$F$92&gt;=0</t>
  </si>
  <si>
    <t>$G$92&gt;=0</t>
  </si>
  <si>
    <t>Microsoft Excel 16.0 Sensitivity Report</t>
  </si>
  <si>
    <t>Report Created: 31.10.2025 20:50:26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</si>
  <si>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</si>
  <si>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</si>
  <si>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</si>
  <si>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</si>
  <si>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</si>
  <si>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</si>
  <si>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</si>
  <si>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</si>
  <si>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</si>
  <si>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</si>
  <si>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</si>
  <si>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</si>
  <si>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</si>
  <si>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31.10.2025 20:55:36</t>
  </si>
  <si>
    <t>Engine: Simplex LP</t>
  </si>
  <si>
    <t>Solution Time: 0,031 Seconds.</t>
  </si>
  <si>
    <t>Iterations: 15 Subproblems: 0</t>
  </si>
  <si>
    <t>Report Created: 31.10.2025 20:55:37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</si>
  <si>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</si>
  <si>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</si>
  <si>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</si>
  <si>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</si>
  <si>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</si>
  <si>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</si>
  <si>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</si>
  <si>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</si>
  <si>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</si>
  <si>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Задание 3</t>
  </si>
  <si>
    <t>М</t>
  </si>
  <si>
    <t>1          150</t>
  </si>
  <si>
    <t>1              0</t>
  </si>
  <si>
    <t>2                   50</t>
  </si>
  <si>
    <t>3               50</t>
  </si>
  <si>
    <t>3                         50</t>
  </si>
  <si>
    <t>5               0</t>
  </si>
  <si>
    <t>6                   0</t>
  </si>
  <si>
    <t>0                         100</t>
  </si>
  <si>
    <t>Расчет потенциалов</t>
  </si>
  <si>
    <t>u1 = 0</t>
  </si>
  <si>
    <t>v1 =  4</t>
  </si>
  <si>
    <t>v2 = 5</t>
  </si>
  <si>
    <t>u2 = -2</t>
  </si>
  <si>
    <t>u3 = -4</t>
  </si>
  <si>
    <t>u4 = -3</t>
  </si>
  <si>
    <t>u5 = -6</t>
  </si>
  <si>
    <t>v5 =5</t>
  </si>
  <si>
    <t>v5 = 5</t>
  </si>
  <si>
    <t>d1</t>
  </si>
  <si>
    <t>d2</t>
  </si>
  <si>
    <t>d3</t>
  </si>
  <si>
    <t xml:space="preserve"> </t>
  </si>
  <si>
    <t>Поставщики-базы (тарифы)</t>
  </si>
  <si>
    <t>Базы-Потребители (тарифы)</t>
  </si>
  <si>
    <t>Матрица тарифов</t>
  </si>
  <si>
    <t>Решение</t>
  </si>
  <si>
    <t>S</t>
  </si>
  <si>
    <t xml:space="preserve">Поставщики-базы </t>
  </si>
  <si>
    <t>14 / 350</t>
  </si>
  <si>
    <t>16 / 240</t>
  </si>
  <si>
    <t>18 / 10</t>
  </si>
  <si>
    <t>22 / 30</t>
  </si>
  <si>
    <t>23 / 120</t>
  </si>
  <si>
    <t>0 / 300</t>
  </si>
  <si>
    <t>Vi         Ui</t>
  </si>
  <si>
    <t>v3 = 23</t>
  </si>
  <si>
    <t>v1 = 18</t>
  </si>
  <si>
    <t>u3 = -1</t>
  </si>
  <si>
    <t>v2 = 15</t>
  </si>
  <si>
    <t>u4 = -23</t>
  </si>
  <si>
    <t>Базы-Потребители</t>
  </si>
  <si>
    <t>10 / 350</t>
  </si>
  <si>
    <t>12 / 50</t>
  </si>
  <si>
    <t>16 / 250</t>
  </si>
  <si>
    <t>18 / 100</t>
  </si>
  <si>
    <t>v1 = 16</t>
  </si>
  <si>
    <t>u3 = 2</t>
  </si>
  <si>
    <t>v2 = 10</t>
  </si>
  <si>
    <t>Worksheet: [ЛР4 В22 Наривончик 351004.xlsx]Sheet1</t>
  </si>
  <si>
    <t>Report Created: 01.11.2025 20:36:57</t>
  </si>
  <si>
    <t>$I$24</t>
  </si>
  <si>
    <t>A1 X</t>
  </si>
  <si>
    <t>$I$25</t>
  </si>
  <si>
    <t>A2 X</t>
  </si>
  <si>
    <t>$I$26</t>
  </si>
  <si>
    <t>A3 X</t>
  </si>
  <si>
    <t>$I$27</t>
  </si>
  <si>
    <t>A4 X</t>
  </si>
  <si>
    <t>$J$24</t>
  </si>
  <si>
    <t>A1 Сумма Aij*Xj</t>
  </si>
  <si>
    <t>$J$25</t>
  </si>
  <si>
    <t>A2 Сумма Aij*Xj</t>
  </si>
  <si>
    <t>$J$26</t>
  </si>
  <si>
    <t>A3 Сумма Aij*Xj</t>
  </si>
  <si>
    <t>$J$27</t>
  </si>
  <si>
    <t>A4 Сумма Aij*Xj</t>
  </si>
  <si>
    <t>Worksheet: [ЛР5 В22 Наривончик 351004.xlsx]Sheet1</t>
  </si>
  <si>
    <t>Report Created: 02.11.2025 19:01:01</t>
  </si>
  <si>
    <t>$S$22</t>
  </si>
  <si>
    <t>$S$23</t>
  </si>
  <si>
    <t>$S$24</t>
  </si>
  <si>
    <t>$S$25</t>
  </si>
  <si>
    <t>$T$22</t>
  </si>
  <si>
    <t>$T$23</t>
  </si>
  <si>
    <t>$T$24</t>
  </si>
  <si>
    <t>$T$25</t>
  </si>
  <si>
    <t>Задание 1</t>
  </si>
  <si>
    <t>Номер
задачи</t>
  </si>
  <si>
    <t>Параметры</t>
  </si>
  <si>
    <t>Работы</t>
  </si>
  <si>
    <t>Сумма средств</t>
  </si>
  <si>
    <t>tij</t>
  </si>
  <si>
    <t>dij</t>
  </si>
  <si>
    <t>kij</t>
  </si>
  <si>
    <t>Событие</t>
  </si>
  <si>
    <t>Ранний срок свершения события</t>
  </si>
  <si>
    <t>Поздний срок свершения события</t>
  </si>
  <si>
    <t>(i, j)</t>
  </si>
  <si>
    <t>(1, 2)</t>
  </si>
  <si>
    <t>(1, 3)</t>
  </si>
  <si>
    <t>(1, 4)</t>
  </si>
  <si>
    <t>(3, 4)</t>
  </si>
  <si>
    <t>(4, 5)</t>
  </si>
  <si>
    <t>(5, 6)</t>
  </si>
  <si>
    <t>Зависимость продолжительности работ от вложенных средств</t>
  </si>
  <si>
    <t>Решение с помошью поиска решений</t>
  </si>
  <si>
    <t>tн</t>
  </si>
  <si>
    <t>tо</t>
  </si>
  <si>
    <t>xij</t>
  </si>
  <si>
    <t>&gt;=</t>
  </si>
  <si>
    <t>old tij</t>
  </si>
  <si>
    <t>new tij</t>
  </si>
  <si>
    <t>Ограничения задачи</t>
  </si>
  <si>
    <t xml:space="preserve">Продолжительность выполнения каждой работы </t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</si>
  <si>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56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56 </t>
    </r>
    <r>
      <rPr>
        <sz val="12"/>
        <color theme="1"/>
        <rFont val="Times New Roman"/>
        <family val="1"/>
        <charset val="204"/>
      </rPr>
      <t>= 0;</t>
    </r>
  </si>
  <si>
    <t xml:space="preserve">Время начала выполнения каждой работы </t>
  </si>
  <si>
    <t>Условие неотрицательности элементов</t>
  </si>
  <si>
    <t>Математическая модель</t>
  </si>
  <si>
    <t xml:space="preserve">Целевая функция имеет вид: tкр = tо56 —&gt; min </t>
  </si>
  <si>
    <r>
      <t>x</t>
    </r>
    <r>
      <rPr>
        <vertAlign val="subscript"/>
        <sz val="12"/>
        <color theme="1"/>
        <rFont val="Times New Roman"/>
        <family val="1"/>
        <charset val="204"/>
      </rPr>
      <t>12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13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14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23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34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35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≤ 33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</si>
  <si>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12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12 </t>
    </r>
    <r>
      <rPr>
        <sz val="12"/>
        <color theme="1"/>
        <rFont val="Times New Roman"/>
        <family val="1"/>
        <charset val="204"/>
      </rPr>
      <t>≥ 6;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</si>
  <si>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13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13 </t>
    </r>
    <r>
      <rPr>
        <sz val="12"/>
        <color theme="1"/>
        <rFont val="Times New Roman"/>
        <family val="1"/>
        <charset val="204"/>
      </rPr>
      <t>≥ 14;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</si>
  <si>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14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14 </t>
    </r>
    <r>
      <rPr>
        <sz val="12"/>
        <color theme="1"/>
        <rFont val="Times New Roman"/>
        <family val="1"/>
        <charset val="204"/>
      </rPr>
      <t xml:space="preserve">≥ 18; 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</si>
  <si>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23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23 </t>
    </r>
    <r>
      <rPr>
        <sz val="12"/>
        <color theme="1"/>
        <rFont val="Times New Roman"/>
        <family val="1"/>
        <charset val="204"/>
      </rPr>
      <t xml:space="preserve">≥ 4; </t>
    </r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</si>
  <si>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34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34 </t>
    </r>
    <r>
      <rPr>
        <sz val="12"/>
        <color theme="1"/>
        <rFont val="Times New Roman"/>
        <family val="1"/>
        <charset val="204"/>
      </rPr>
      <t>≥ 9;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</si>
  <si>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35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35 </t>
    </r>
    <r>
      <rPr>
        <sz val="12"/>
        <color theme="1"/>
        <rFont val="Times New Roman"/>
        <family val="1"/>
        <charset val="204"/>
      </rPr>
      <t>≥ 15;</t>
    </r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</si>
  <si>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≥ 16;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</si>
  <si>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12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12 =</t>
    </r>
    <r>
      <rPr>
        <sz val="11"/>
        <color theme="1"/>
        <rFont val="Times New Roman"/>
        <family val="1"/>
        <charset val="204"/>
      </rPr>
      <t xml:space="preserve"> 9 - 0,2x</t>
    </r>
    <r>
      <rPr>
        <vertAlign val="subscript"/>
        <sz val="11"/>
        <color theme="1"/>
        <rFont val="Times New Roman"/>
        <family val="1"/>
        <charset val="204"/>
      </rPr>
      <t>12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</si>
  <si>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13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13 =</t>
    </r>
    <r>
      <rPr>
        <sz val="11"/>
        <color theme="1"/>
        <rFont val="Times New Roman"/>
        <family val="1"/>
        <charset val="204"/>
      </rPr>
      <t xml:space="preserve"> 18 – 0,25x</t>
    </r>
    <r>
      <rPr>
        <vertAlign val="subscript"/>
        <sz val="11"/>
        <color theme="1"/>
        <rFont val="Times New Roman"/>
        <family val="1"/>
        <charset val="204"/>
      </rPr>
      <t>13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</si>
  <si>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14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14 =</t>
    </r>
    <r>
      <rPr>
        <sz val="11"/>
        <color theme="1"/>
        <rFont val="Times New Roman"/>
        <family val="1"/>
        <charset val="204"/>
      </rPr>
      <t xml:space="preserve"> 21 - 0,15x</t>
    </r>
    <r>
      <rPr>
        <vertAlign val="subscript"/>
        <sz val="11"/>
        <color theme="1"/>
        <rFont val="Times New Roman"/>
        <family val="1"/>
        <charset val="204"/>
      </rPr>
      <t>14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</si>
  <si>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23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23 =</t>
    </r>
    <r>
      <rPr>
        <sz val="11"/>
        <color theme="1"/>
        <rFont val="Times New Roman"/>
        <family val="1"/>
        <charset val="204"/>
      </rPr>
      <t xml:space="preserve"> 7 - 0,4x</t>
    </r>
    <r>
      <rPr>
        <vertAlign val="subscript"/>
        <sz val="11"/>
        <color theme="1"/>
        <rFont val="Times New Roman"/>
        <family val="1"/>
        <charset val="204"/>
      </rPr>
      <t>23</t>
    </r>
    <r>
      <rPr>
        <sz val="11"/>
        <color theme="1"/>
        <rFont val="Times New Roman"/>
        <family val="1"/>
        <charset val="204"/>
      </rPr>
      <t xml:space="preserve">; 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</si>
  <si>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34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34 =</t>
    </r>
    <r>
      <rPr>
        <sz val="11"/>
        <color theme="1"/>
        <rFont val="Times New Roman"/>
        <family val="1"/>
        <charset val="204"/>
      </rPr>
      <t xml:space="preserve"> 12 - 0,3x</t>
    </r>
    <r>
      <rPr>
        <vertAlign val="subscript"/>
        <sz val="11"/>
        <color theme="1"/>
        <rFont val="Times New Roman"/>
        <family val="1"/>
        <charset val="204"/>
      </rPr>
      <t>34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</si>
  <si>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35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35 =</t>
    </r>
    <r>
      <rPr>
        <sz val="11"/>
        <color theme="1"/>
        <rFont val="Times New Roman"/>
        <family val="1"/>
        <charset val="204"/>
      </rPr>
      <t xml:space="preserve"> 19 - 0,12x</t>
    </r>
    <r>
      <rPr>
        <vertAlign val="subscript"/>
        <sz val="11"/>
        <color theme="1"/>
        <rFont val="Times New Roman"/>
        <family val="1"/>
        <charset val="204"/>
      </rPr>
      <t>35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</si>
  <si>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45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45 =</t>
    </r>
    <r>
      <rPr>
        <sz val="11"/>
        <color theme="1"/>
        <rFont val="Times New Roman"/>
        <family val="1"/>
        <charset val="204"/>
      </rPr>
      <t xml:space="preserve"> 20 - 0,2x</t>
    </r>
    <r>
      <rPr>
        <vertAlign val="subscript"/>
        <sz val="11"/>
        <color theme="1"/>
        <rFont val="Times New Roman"/>
        <family val="1"/>
        <charset val="204"/>
      </rPr>
      <t>45</t>
    </r>
    <r>
      <rPr>
        <sz val="11"/>
        <color theme="1"/>
        <rFont val="Times New Roman"/>
        <family val="1"/>
        <charset val="204"/>
      </rPr>
      <t>;</t>
    </r>
  </si>
  <si>
    <t>(2, 3)</t>
  </si>
  <si>
    <t>(3, 5)</t>
  </si>
  <si>
    <t>Время</t>
  </si>
  <si>
    <t>Вложенные средства</t>
  </si>
  <si>
    <t>Microsoft Excel 16.0 Linearity Report</t>
  </si>
  <si>
    <t>Worksheet: [ЛР6 В22 Наривончик 351004.xlsx]ЛР6 Задача 2</t>
  </si>
  <si>
    <t>Report Created: 23.11.2025 17:18:02</t>
  </si>
  <si>
    <t>Linear Function</t>
  </si>
  <si>
    <t>Occurs Linearly</t>
  </si>
  <si>
    <t>$L$82</t>
  </si>
  <si>
    <t>Время kij</t>
  </si>
  <si>
    <t>No</t>
  </si>
  <si>
    <t>$E$70</t>
  </si>
  <si>
    <t>(1, 2) tн</t>
  </si>
  <si>
    <t>$F$70</t>
  </si>
  <si>
    <t>(1, 2) tо</t>
  </si>
  <si>
    <t>$G$70</t>
  </si>
  <si>
    <t>(1, 2) xij</t>
  </si>
  <si>
    <t>$E$71</t>
  </si>
  <si>
    <t>(1, 3) tн</t>
  </si>
  <si>
    <t>$F$71</t>
  </si>
  <si>
    <t>(1, 3) tо</t>
  </si>
  <si>
    <t>$G$71</t>
  </si>
  <si>
    <t>(1, 3) xij</t>
  </si>
  <si>
    <t>$E$72</t>
  </si>
  <si>
    <t>(1, 4) tн</t>
  </si>
  <si>
    <t>$F$72</t>
  </si>
  <si>
    <t>(1, 4) tо</t>
  </si>
  <si>
    <t>$G$72</t>
  </si>
  <si>
    <t>(1, 4) xij</t>
  </si>
  <si>
    <t>$E$73</t>
  </si>
  <si>
    <t>(2, 3) tн</t>
  </si>
  <si>
    <t>$F$73</t>
  </si>
  <si>
    <t>(2, 3) tо</t>
  </si>
  <si>
    <t>$G$73</t>
  </si>
  <si>
    <t>(2, 3) xij</t>
  </si>
  <si>
    <t>$E$74</t>
  </si>
  <si>
    <t>(3, 4) tн</t>
  </si>
  <si>
    <t>$F$74</t>
  </si>
  <si>
    <t>(3, 4) tо</t>
  </si>
  <si>
    <t>$G$74</t>
  </si>
  <si>
    <t>(3, 4) xij</t>
  </si>
  <si>
    <t>$E$75</t>
  </si>
  <si>
    <t>(3, 5) tн</t>
  </si>
  <si>
    <t>$F$75</t>
  </si>
  <si>
    <t>(3, 5) tо</t>
  </si>
  <si>
    <t>$G$75</t>
  </si>
  <si>
    <t>(3, 5) xij</t>
  </si>
  <si>
    <t>$E$76</t>
  </si>
  <si>
    <t>(4, 5) tн</t>
  </si>
  <si>
    <t>$F$76</t>
  </si>
  <si>
    <t>(4, 5) tо</t>
  </si>
  <si>
    <t>$G$76</t>
  </si>
  <si>
    <t>(4, 5) xij</t>
  </si>
  <si>
    <t>$E$77</t>
  </si>
  <si>
    <t>(5, 6) tн</t>
  </si>
  <si>
    <t>$F$77</t>
  </si>
  <si>
    <t>(5, 6) tо</t>
  </si>
  <si>
    <t>$G$77</t>
  </si>
  <si>
    <t>(5, 6) xij</t>
  </si>
  <si>
    <t>$E$73&gt;=$F$70</t>
  </si>
  <si>
    <t>$E$74&gt;=$F$71</t>
  </si>
  <si>
    <t>$E$75&gt;=$F$71</t>
  </si>
  <si>
    <t>$E$74&gt;=$F$73</t>
  </si>
  <si>
    <t>$E$75&gt;=$F$73</t>
  </si>
  <si>
    <t>$E$76&gt;=$F$72</t>
  </si>
  <si>
    <t>$E$76&gt;=$F$74</t>
  </si>
  <si>
    <t>$E$77&gt;=$F$75</t>
  </si>
  <si>
    <t>$E$77&gt;=$F$76</t>
  </si>
  <si>
    <t>$F$75=$F$77</t>
  </si>
  <si>
    <t>$F$76=$F$77</t>
  </si>
  <si>
    <t>$F$77&lt;=$C$77</t>
  </si>
  <si>
    <t>Yes</t>
  </si>
  <si>
    <t>$H$70</t>
  </si>
  <si>
    <t>(1, 2) tij</t>
  </si>
  <si>
    <t>$H$70=$M$70</t>
  </si>
  <si>
    <t>$H$71</t>
  </si>
  <si>
    <t>(1, 3) tij</t>
  </si>
  <si>
    <t>$H$71=$M$71</t>
  </si>
  <si>
    <t>$H$72</t>
  </si>
  <si>
    <t>(1, 4) tij</t>
  </si>
  <si>
    <t>$H$72=$M$72</t>
  </si>
  <si>
    <t>$H$73</t>
  </si>
  <si>
    <t>(2, 3) tij</t>
  </si>
  <si>
    <t>$H$73=$M$73</t>
  </si>
  <si>
    <t>$H$74</t>
  </si>
  <si>
    <t>(3, 4) tij</t>
  </si>
  <si>
    <t>$H$74=$M$74</t>
  </si>
  <si>
    <t>$H$75</t>
  </si>
  <si>
    <t>(3, 5) tij</t>
  </si>
  <si>
    <t>$H$75=$M$75</t>
  </si>
  <si>
    <t>$H$76</t>
  </si>
  <si>
    <t>(4, 5) tij</t>
  </si>
  <si>
    <t>$H$76=$M$76</t>
  </si>
  <si>
    <t>$H$77</t>
  </si>
  <si>
    <t>(5, 6) tij</t>
  </si>
  <si>
    <t>$H$77=$M$77</t>
  </si>
  <si>
    <t>$H$70&gt;=$J$70</t>
  </si>
  <si>
    <t>$H$71&gt;=$J$71</t>
  </si>
  <si>
    <t>$H$72&gt;=$J$72</t>
  </si>
  <si>
    <t>$H$73&gt;=$J$73</t>
  </si>
  <si>
    <t>$H$74&gt;=$J$74</t>
  </si>
  <si>
    <t>$H$75&gt;=$J$75</t>
  </si>
  <si>
    <t>$H$76&gt;=$J$76</t>
  </si>
  <si>
    <t>$H$77&gt;=$J$77</t>
  </si>
  <si>
    <t>$L$80</t>
  </si>
  <si>
    <t>Вложенные средства kij</t>
  </si>
  <si>
    <t>$L$80&lt;=33</t>
  </si>
  <si>
    <t>Задание 1 (метод пассивного поиска)</t>
  </si>
  <si>
    <t>Функция</t>
  </si>
  <si>
    <t>a</t>
  </si>
  <si>
    <t>b</t>
  </si>
  <si>
    <t>ε</t>
  </si>
  <si>
    <t>N</t>
  </si>
  <si>
    <t>x</t>
  </si>
  <si>
    <t>f(x)</t>
  </si>
  <si>
    <t>Номер</t>
  </si>
  <si>
    <t>Итерация 1</t>
  </si>
  <si>
    <t>Итерация 2</t>
  </si>
  <si>
    <t>Min</t>
  </si>
  <si>
    <t>Длина</t>
  </si>
  <si>
    <t>i</t>
  </si>
  <si>
    <t xml:space="preserve">b </t>
  </si>
  <si>
    <t>а</t>
  </si>
  <si>
    <t>Метод пассивного поиска (нечетное N)</t>
  </si>
  <si>
    <t>Задание 2 (метод дихотомии)</t>
  </si>
  <si>
    <t xml:space="preserve">Итерация </t>
  </si>
  <si>
    <t>x1</t>
  </si>
  <si>
    <t>x2</t>
  </si>
  <si>
    <t>f(x1)</t>
  </si>
  <si>
    <t>Знак</t>
  </si>
  <si>
    <t>f(x2)</t>
  </si>
  <si>
    <t>&gt;</t>
  </si>
  <si>
    <t>-</t>
  </si>
  <si>
    <t>&lt;=</t>
  </si>
  <si>
    <t>a8</t>
  </si>
  <si>
    <t>b8</t>
  </si>
  <si>
    <t>f(a8)</t>
  </si>
  <si>
    <t>f(b8)</t>
  </si>
  <si>
    <t>x1(7)</t>
  </si>
  <si>
    <t>x2(8)</t>
  </si>
  <si>
    <t>f(x1(7))</t>
  </si>
  <si>
    <t>f(x2(8))</t>
  </si>
  <si>
    <t>Ряд Фибоначчи до N+1</t>
  </si>
  <si>
    <t>№</t>
  </si>
  <si>
    <t>Ki</t>
  </si>
  <si>
    <t>Итерация</t>
  </si>
  <si>
    <t>F17</t>
  </si>
  <si>
    <t>Задание 3 (метод фибоначчи)</t>
  </si>
  <si>
    <t>a15</t>
  </si>
  <si>
    <t>b15</t>
  </si>
  <si>
    <t>f(a15)</t>
  </si>
  <si>
    <t>f(b15)</t>
  </si>
  <si>
    <t>Задание 4 (метод золотого сечения)</t>
  </si>
  <si>
    <t>Ф1</t>
  </si>
  <si>
    <t xml:space="preserve">Ф2 = </t>
  </si>
  <si>
    <t>x2(14)</t>
  </si>
  <si>
    <t>x1(15)</t>
  </si>
  <si>
    <t>f(x2(14))</t>
  </si>
  <si>
    <t>f(x1(15))</t>
  </si>
  <si>
    <t>Задача 2</t>
  </si>
  <si>
    <t>F</t>
  </si>
  <si>
    <t>Vi</t>
  </si>
  <si>
    <t>Si</t>
  </si>
  <si>
    <t>fi</t>
  </si>
  <si>
    <t>qi0</t>
  </si>
  <si>
    <t>Ki*Vi/qi0</t>
  </si>
  <si>
    <t>Si*qi0/2</t>
  </si>
  <si>
    <t>fi*qi</t>
  </si>
  <si>
    <t>L</t>
  </si>
  <si>
    <t>Результаты системы</t>
  </si>
  <si>
    <t>Необходимые складские площади</t>
  </si>
  <si>
    <t>Издержки работы в д.е./год</t>
  </si>
  <si>
    <t>Без ограничений</t>
  </si>
  <si>
    <t>С ограничениями на складские помещения</t>
  </si>
  <si>
    <t>DeltaL</t>
  </si>
  <si>
    <t>Сводная таблица</t>
  </si>
  <si>
    <t>Метод дихотомии</t>
  </si>
  <si>
    <t>Метод Фибоначчи</t>
  </si>
  <si>
    <t>Метод золотого сечения</t>
  </si>
  <si>
    <t>x*</t>
  </si>
  <si>
    <t>f(x*)</t>
  </si>
  <si>
    <t>Пассивный поиск (четное N)</t>
  </si>
  <si>
    <t>Пассивный поиск (нечетное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</si>
</sst>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</fonts>
  <fills count="2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1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33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43" xfId="0" applyFill="1" applyBorder="1" applyAlignment="1">
      <alignment horizontal="center" vertical="center"/>
    </xf>
    <xf numFmtId="0" fontId="1" fillId="0" borderId="0" xfId="0" applyFont="1"/>
    <xf numFmtId="0" fontId="0" fillId="0" borderId="53" xfId="0" applyFill="1" applyBorder="1" applyAlignment="1"/>
    <xf numFmtId="0" fontId="2" fillId="0" borderId="52" xfId="0" applyFont="1" applyFill="1" applyBorder="1" applyAlignment="1">
      <alignment horizontal="center"/>
    </xf>
    <xf numFmtId="0" fontId="0" fillId="0" borderId="54" xfId="0" applyFill="1" applyBorder="1" applyAlignment="1"/>
    <xf numFmtId="0" fontId="0" fillId="0" borderId="53" xfId="0" applyNumberFormat="1" applyFill="1" applyBorder="1" applyAlignment="1"/>
    <xf numFmtId="0" fontId="0" fillId="0" borderId="54" xfId="0" applyNumberForma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33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37" xfId="0" applyBorder="1"/>
    <xf numFmtId="0" fontId="0" fillId="0" borderId="20" xfId="0" applyBorder="1"/>
    <xf numFmtId="0" fontId="0" fillId="0" borderId="13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3" xfId="0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13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6" fontId="0" fillId="3" borderId="8" xfId="0" quotePrefix="1" applyNumberForma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23" xfId="0" applyBorder="1"/>
    <xf numFmtId="0" fontId="0" fillId="0" borderId="73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quotePrefix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/>
    <xf numFmtId="0" fontId="0" fillId="0" borderId="9" xfId="0" applyBorder="1"/>
    <xf numFmtId="0" fontId="0" fillId="22" borderId="9" xfId="0" applyFill="1" applyBorder="1" applyAlignment="1">
      <alignment horizontal="center"/>
    </xf>
    <xf numFmtId="0" fontId="0" fillId="22" borderId="34" xfId="0" applyFill="1" applyBorder="1" applyAlignment="1">
      <alignment horizontal="center"/>
    </xf>
    <xf numFmtId="0" fontId="0" fillId="16" borderId="37" xfId="0" applyFill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" fontId="0" fillId="0" borderId="9" xfId="0" applyNumberFormat="1" applyBorder="1"/>
    <xf numFmtId="0" fontId="0" fillId="21" borderId="9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0" fillId="13" borderId="9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0" fontId="1" fillId="0" borderId="53" xfId="0" applyFont="1" applyFill="1" applyBorder="1" applyAlignment="1"/>
    <xf numFmtId="0" fontId="1" fillId="0" borderId="54" xfId="0" applyFont="1" applyFill="1" applyBorder="1" applyAlignment="1"/>
    <xf numFmtId="1" fontId="0" fillId="0" borderId="54" xfId="0" applyNumberFormat="1" applyFill="1" applyBorder="1" applyAlignment="1"/>
    <xf numFmtId="1" fontId="0" fillId="0" borderId="53" xfId="0" applyNumberFormat="1" applyFill="1" applyBorder="1" applyAlignment="1"/>
    <xf numFmtId="0" fontId="0" fillId="12" borderId="34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69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75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21" borderId="34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77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18" borderId="9" xfId="0" applyFill="1" applyBorder="1" applyAlignment="1">
      <alignment horizontal="center" wrapText="1"/>
    </xf>
    <xf numFmtId="0" fontId="0" fillId="13" borderId="9" xfId="0" applyFill="1" applyBorder="1" applyAlignment="1">
      <alignment horizontal="center" vertical="center"/>
    </xf>
    <xf numFmtId="0" fontId="0" fillId="14" borderId="60" xfId="0" applyFill="1" applyBorder="1" applyAlignment="1">
      <alignment horizontal="center" vertical="center"/>
    </xf>
    <xf numFmtId="0" fontId="0" fillId="14" borderId="76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21" borderId="60" xfId="0" applyFill="1" applyBorder="1" applyAlignment="1">
      <alignment horizontal="center" wrapText="1"/>
    </xf>
    <xf numFmtId="0" fontId="0" fillId="21" borderId="18" xfId="0" applyFill="1" applyBorder="1" applyAlignment="1">
      <alignment horizontal="center"/>
    </xf>
    <xf numFmtId="0" fontId="0" fillId="19" borderId="60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Fill="1" applyBorder="1" applyAlignment="1">
      <alignment horizontal="center" wrapText="1"/>
    </xf>
    <xf numFmtId="0" fontId="0" fillId="0" borderId="9" xfId="0" applyFill="1" applyBorder="1" applyAlignment="1">
      <alignment wrapText="1"/>
    </xf>
    <xf numFmtId="0" fontId="0" fillId="0" borderId="43" xfId="0" applyFill="1" applyBorder="1" applyAlignment="1">
      <alignment wrapText="1"/>
    </xf>
    <xf numFmtId="0" fontId="0" fillId="0" borderId="28" xfId="0" applyFill="1" applyBorder="1" applyAlignment="1">
      <alignment wrapText="1"/>
    </xf>
    <xf numFmtId="0" fontId="0" fillId="8" borderId="33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wrapText="1"/>
    </xf>
    <xf numFmtId="0" fontId="0" fillId="5" borderId="16" xfId="0" applyFill="1" applyBorder="1" applyAlignment="1">
      <alignment horizontal="center" wrapText="1"/>
    </xf>
    <xf numFmtId="0" fontId="0" fillId="8" borderId="40" xfId="0" applyFill="1" applyBorder="1" applyAlignment="1">
      <alignment horizontal="center" vertical="center" wrapText="1"/>
    </xf>
    <xf numFmtId="0" fontId="0" fillId="8" borderId="40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 wrapText="1"/>
    </xf>
    <xf numFmtId="0" fontId="0" fillId="5" borderId="43" xfId="0" applyFill="1" applyBorder="1" applyAlignment="1">
      <alignment wrapText="1"/>
    </xf>
    <xf numFmtId="0" fontId="0" fillId="5" borderId="28" xfId="0" applyFill="1" applyBorder="1" applyAlignment="1">
      <alignment wrapText="1"/>
    </xf>
    <xf numFmtId="0" fontId="0" fillId="5" borderId="29" xfId="0" applyFill="1" applyBorder="1" applyAlignment="1">
      <alignment wrapText="1"/>
    </xf>
    <xf numFmtId="0" fontId="0" fillId="8" borderId="9" xfId="0" applyFill="1" applyBorder="1"/>
    <xf numFmtId="0" fontId="0" fillId="18" borderId="9" xfId="0" applyFill="1" applyBorder="1"/>
    <xf numFmtId="0" fontId="0" fillId="6" borderId="9" xfId="0" applyFill="1" applyBorder="1"/>
    <xf numFmtId="0" fontId="0" fillId="21" borderId="9" xfId="0" applyFill="1" applyBorder="1"/>
    <xf numFmtId="0" fontId="0" fillId="12" borderId="9" xfId="0" applyFill="1" applyBorder="1"/>
    <xf numFmtId="0" fontId="0" fillId="5" borderId="9" xfId="0" applyFill="1" applyBorder="1"/>
    <xf numFmtId="0" fontId="0" fillId="18" borderId="39" xfId="0" applyFill="1" applyBorder="1" applyAlignment="1">
      <alignment horizontal="center" vertical="center"/>
    </xf>
    <xf numFmtId="0" fontId="0" fillId="8" borderId="40" xfId="0" applyFill="1" applyBorder="1"/>
    <xf numFmtId="0" fontId="0" fillId="8" borderId="41" xfId="0" applyFill="1" applyBorder="1"/>
    <xf numFmtId="0" fontId="0" fillId="18" borderId="42" xfId="0" applyFill="1" applyBorder="1" applyAlignment="1">
      <alignment horizontal="center" vertical="center"/>
    </xf>
    <xf numFmtId="0" fontId="0" fillId="5" borderId="22" xfId="0" applyFill="1" applyBorder="1"/>
    <xf numFmtId="0" fontId="0" fillId="18" borderId="43" xfId="0" applyFill="1" applyBorder="1" applyAlignment="1">
      <alignment horizontal="center" vertical="center"/>
    </xf>
    <xf numFmtId="0" fontId="0" fillId="5" borderId="28" xfId="0" applyFill="1" applyBorder="1"/>
    <xf numFmtId="0" fontId="0" fillId="5" borderId="29" xfId="0" applyFill="1" applyBorder="1"/>
    <xf numFmtId="0" fontId="0" fillId="18" borderId="28" xfId="0" applyFill="1" applyBorder="1"/>
    <xf numFmtId="0" fontId="0" fillId="18" borderId="39" xfId="0" applyFill="1" applyBorder="1" applyAlignment="1">
      <alignment wrapText="1"/>
    </xf>
    <xf numFmtId="0" fontId="0" fillId="13" borderId="41" xfId="0" applyFill="1" applyBorder="1" applyAlignment="1">
      <alignment wrapText="1"/>
    </xf>
    <xf numFmtId="0" fontId="0" fillId="18" borderId="42" xfId="0" applyFill="1" applyBorder="1" applyAlignment="1">
      <alignment wrapText="1"/>
    </xf>
    <xf numFmtId="0" fontId="0" fillId="13" borderId="22" xfId="0" applyFill="1" applyBorder="1" applyAlignment="1">
      <alignment wrapText="1"/>
    </xf>
    <xf numFmtId="0" fontId="0" fillId="18" borderId="43" xfId="0" applyFill="1" applyBorder="1" applyAlignment="1">
      <alignment wrapText="1"/>
    </xf>
    <xf numFmtId="0" fontId="0" fillId="13" borderId="29" xfId="0" applyFill="1" applyBorder="1" applyAlignment="1">
      <alignment wrapText="1"/>
    </xf>
    <xf numFmtId="0" fontId="0" fillId="5" borderId="9" xfId="0" applyFill="1" applyBorder="1" applyAlignment="1">
      <alignment horizontal="center" vertical="center"/>
    </xf>
    <xf numFmtId="0" fontId="0" fillId="18" borderId="33" xfId="0" applyFill="1" applyBorder="1" applyAlignment="1">
      <alignment wrapText="1"/>
    </xf>
    <xf numFmtId="0" fontId="0" fillId="13" borderId="16" xfId="0" applyFill="1" applyBorder="1" applyAlignment="1">
      <alignment wrapText="1"/>
    </xf>
    <xf numFmtId="0" fontId="0" fillId="0" borderId="0" xfId="0" applyAlignment="1">
      <alignment horizontal="left"/>
    </xf>
    <xf numFmtId="0" fontId="0" fillId="8" borderId="9" xfId="0" applyFill="1" applyBorder="1" applyAlignment="1">
      <alignment horizontal="center"/>
    </xf>
    <xf numFmtId="0" fontId="0" fillId="0" borderId="41" xfId="0" applyFill="1" applyBorder="1" applyAlignment="1">
      <alignment wrapText="1"/>
    </xf>
    <xf numFmtId="0" fontId="0" fillId="0" borderId="22" xfId="0" applyFill="1" applyBorder="1" applyAlignment="1">
      <alignment wrapText="1"/>
    </xf>
    <xf numFmtId="0" fontId="0" fillId="18" borderId="39" xfId="0" applyFill="1" applyBorder="1"/>
    <xf numFmtId="0" fontId="0" fillId="18" borderId="42" xfId="0" applyFill="1" applyBorder="1"/>
    <xf numFmtId="0" fontId="0" fillId="18" borderId="43" xfId="0" applyFill="1" applyBorder="1"/>
    <xf numFmtId="0" fontId="0" fillId="0" borderId="22" xfId="0" applyBorder="1"/>
    <xf numFmtId="0" fontId="0" fillId="0" borderId="29" xfId="0" applyBorder="1"/>
    <xf numFmtId="0" fontId="0" fillId="13" borderId="22" xfId="0" applyFill="1" applyBorder="1"/>
    <xf numFmtId="0" fontId="0" fillId="13" borderId="29" xfId="0" applyFill="1" applyBorder="1"/>
    <xf numFmtId="0" fontId="0" fillId="24" borderId="42" xfId="0" applyFill="1" applyBorder="1"/>
    <xf numFmtId="0" fontId="0" fillId="25" borderId="22" xfId="0" applyFill="1" applyBorder="1"/>
    <xf numFmtId="0" fontId="0" fillId="25" borderId="41" xfId="0" applyFill="1" applyBorder="1"/>
    <xf numFmtId="0" fontId="0" fillId="24" borderId="39" xfId="0" applyFill="1" applyBorder="1"/>
    <xf numFmtId="164" fontId="0" fillId="0" borderId="9" xfId="0" applyNumberFormat="1" applyBorder="1"/>
    <xf numFmtId="164" fontId="0" fillId="0" borderId="0" xfId="0" applyNumberFormat="1"/>
    <xf numFmtId="0" fontId="0" fillId="14" borderId="9" xfId="0" applyFill="1" applyBorder="1"/>
    <xf numFmtId="164" fontId="0" fillId="0" borderId="9" xfId="0" applyNumberFormat="1" applyBorder="1" applyAlignment="1">
      <alignment horizontal="center" vertical="center"/>
    </xf>
    <xf numFmtId="164" fontId="0" fillId="0" borderId="22" xfId="0" applyNumberFormat="1" applyBorder="1"/>
    <xf numFmtId="164" fontId="0" fillId="0" borderId="28" xfId="0" applyNumberFormat="1" applyBorder="1"/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/>
    <xf numFmtId="164" fontId="0" fillId="13" borderId="41" xfId="0" applyNumberFormat="1" applyFill="1" applyBorder="1"/>
    <xf numFmtId="164" fontId="0" fillId="13" borderId="22" xfId="0" applyNumberFormat="1" applyFill="1" applyBorder="1"/>
    <xf numFmtId="0" fontId="0" fillId="8" borderId="41" xfId="0" applyFill="1" applyBorder="1" applyAlignment="1">
      <alignment horizontal="center" vertical="center"/>
    </xf>
    <xf numFmtId="0" fontId="0" fillId="8" borderId="78" xfId="0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/>
    <xf numFmtId="164" fontId="0" fillId="0" borderId="27" xfId="0" applyNumberFormat="1" applyBorder="1"/>
    <xf numFmtId="0" fontId="0" fillId="18" borderId="37" xfId="0" applyFill="1" applyBorder="1" applyAlignment="1">
      <alignment horizontal="center" vertical="center"/>
    </xf>
    <xf numFmtId="0" fontId="0" fillId="6" borderId="20" xfId="0" applyFill="1" applyBorder="1"/>
    <xf numFmtId="0" fontId="0" fillId="6" borderId="26" xfId="0" applyFill="1" applyBorder="1"/>
    <xf numFmtId="0" fontId="0" fillId="20" borderId="42" xfId="0" applyFill="1" applyBorder="1"/>
    <xf numFmtId="0" fontId="0" fillId="26" borderId="22" xfId="0" applyFill="1" applyBorder="1"/>
    <xf numFmtId="0" fontId="0" fillId="0" borderId="28" xfId="0" applyBorder="1"/>
    <xf numFmtId="0" fontId="0" fillId="0" borderId="21" xfId="0" applyBorder="1"/>
    <xf numFmtId="0" fontId="0" fillId="0" borderId="27" xfId="0" applyBorder="1"/>
    <xf numFmtId="165" fontId="0" fillId="13" borderId="22" xfId="0" applyNumberFormat="1" applyFill="1" applyBorder="1"/>
    <xf numFmtId="165" fontId="0" fillId="26" borderId="22" xfId="0" applyNumberFormat="1" applyFill="1" applyBorder="1"/>
    <xf numFmtId="0" fontId="0" fillId="13" borderId="60" xfId="0" applyFill="1" applyBorder="1" applyAlignment="1">
      <alignment horizontal="center" vertical="center"/>
    </xf>
    <xf numFmtId="0" fontId="0" fillId="13" borderId="76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5" borderId="60" xfId="0" applyFill="1" applyBorder="1" applyAlignment="1">
      <alignment horizontal="center" vertical="center"/>
    </xf>
    <xf numFmtId="0" fontId="0" fillId="25" borderId="76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23" borderId="9" xfId="0" applyFill="1" applyBorder="1"/>
    <xf numFmtId="0" fontId="0" fillId="21" borderId="40" xfId="0" applyFill="1" applyBorder="1" applyAlignment="1">
      <alignment horizontal="center" vertical="center"/>
    </xf>
    <xf numFmtId="0" fontId="0" fillId="20" borderId="40" xfId="0" applyFill="1" applyBorder="1" applyAlignment="1">
      <alignment horizontal="center" vertical="center"/>
    </xf>
    <xf numFmtId="0" fontId="0" fillId="20" borderId="41" xfId="0" applyFill="1" applyBorder="1" applyAlignment="1">
      <alignment horizontal="center" vertical="center"/>
    </xf>
    <xf numFmtId="0" fontId="0" fillId="23" borderId="22" xfId="0" applyFill="1" applyBorder="1"/>
    <xf numFmtId="0" fontId="0" fillId="12" borderId="28" xfId="0" applyFill="1" applyBorder="1"/>
    <xf numFmtId="0" fontId="0" fillId="23" borderId="28" xfId="0" applyFill="1" applyBorder="1"/>
    <xf numFmtId="0" fontId="0" fillId="23" borderId="29" xfId="0" applyFill="1" applyBorder="1"/>
    <xf numFmtId="0" fontId="0" fillId="19" borderId="33" xfId="0" applyFill="1" applyBorder="1"/>
    <xf numFmtId="0" fontId="0" fillId="19" borderId="15" xfId="0" applyFill="1" applyBorder="1"/>
    <xf numFmtId="0" fontId="0" fillId="19" borderId="16" xfId="0" applyFill="1" applyBorder="1"/>
    <xf numFmtId="0" fontId="0" fillId="5" borderId="21" xfId="0" applyFill="1" applyBorder="1" applyAlignment="1">
      <alignment horizontal="center" vertical="center"/>
    </xf>
    <xf numFmtId="0" fontId="0" fillId="18" borderId="37" xfId="0" applyFill="1" applyBorder="1" applyAlignment="1">
      <alignment horizontal="center"/>
    </xf>
    <xf numFmtId="0" fontId="0" fillId="18" borderId="37" xfId="0" applyFill="1" applyBorder="1"/>
    <xf numFmtId="0" fontId="0" fillId="13" borderId="79" xfId="0" applyFill="1" applyBorder="1"/>
    <xf numFmtId="0" fontId="0" fillId="13" borderId="80" xfId="0" applyFill="1" applyBorder="1"/>
    <xf numFmtId="0" fontId="0" fillId="18" borderId="26" xfId="0" applyFill="1" applyBorder="1" applyAlignment="1">
      <alignment horizontal="center" vertical="center"/>
    </xf>
    <xf numFmtId="0" fontId="0" fillId="13" borderId="20" xfId="0" applyFill="1" applyBorder="1"/>
    <xf numFmtId="0" fontId="0" fillId="13" borderId="26" xfId="0" applyFill="1" applyBorder="1"/>
    <xf numFmtId="0" fontId="0" fillId="8" borderId="78" xfId="0" applyFill="1" applyBorder="1"/>
    <xf numFmtId="0" fontId="0" fillId="21" borderId="40" xfId="0" applyFill="1" applyBorder="1"/>
    <xf numFmtId="0" fontId="0" fillId="20" borderId="40" xfId="0" applyFill="1" applyBorder="1"/>
    <xf numFmtId="0" fontId="0" fillId="20" borderId="41" xfId="0" applyFill="1" applyBorder="1"/>
    <xf numFmtId="0" fontId="0" fillId="18" borderId="9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5" borderId="6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18" borderId="33" xfId="0" applyFill="1" applyBorder="1"/>
    <xf numFmtId="0" fontId="0" fillId="13" borderId="16" xfId="0" applyFill="1" applyBorder="1"/>
    <xf numFmtId="0" fontId="0" fillId="0" borderId="42" xfId="0" applyFill="1" applyBorder="1" applyAlignment="1">
      <alignment wrapText="1"/>
    </xf>
    <xf numFmtId="0" fontId="0" fillId="0" borderId="40" xfId="0" applyFill="1" applyBorder="1" applyAlignment="1">
      <alignment wrapText="1"/>
    </xf>
    <xf numFmtId="0" fontId="0" fillId="18" borderId="39" xfId="0" applyFill="1" applyBorder="1" applyAlignment="1">
      <alignment horizontal="left" wrapText="1"/>
    </xf>
    <xf numFmtId="0" fontId="0" fillId="18" borderId="42" xfId="0" applyFill="1" applyBorder="1" applyAlignment="1">
      <alignment horizontal="left" wrapText="1"/>
    </xf>
    <xf numFmtId="0" fontId="0" fillId="18" borderId="43" xfId="0" applyFill="1" applyBorder="1" applyAlignment="1">
      <alignment horizontal="left" wrapText="1"/>
    </xf>
    <xf numFmtId="0" fontId="0" fillId="18" borderId="58" xfId="0" applyFill="1" applyBorder="1" applyAlignment="1">
      <alignment horizontal="left" wrapText="1"/>
    </xf>
    <xf numFmtId="0" fontId="0" fillId="18" borderId="34" xfId="0" applyFill="1" applyBorder="1" applyAlignment="1">
      <alignment horizontal="left" wrapText="1"/>
    </xf>
    <xf numFmtId="0" fontId="0" fillId="18" borderId="36" xfId="0" applyFill="1" applyBorder="1" applyAlignment="1">
      <alignment horizontal="left" wrapText="1"/>
    </xf>
    <xf numFmtId="0" fontId="0" fillId="8" borderId="64" xfId="0" applyFill="1" applyBorder="1" applyAlignment="1">
      <alignment horizontal="center" vertical="center" wrapText="1"/>
    </xf>
    <xf numFmtId="0" fontId="0" fillId="8" borderId="74" xfId="0" applyFill="1" applyBorder="1" applyAlignment="1">
      <alignment horizontal="center" vertical="center" wrapText="1"/>
    </xf>
    <xf numFmtId="0" fontId="0" fillId="8" borderId="65" xfId="0" applyFill="1" applyBorder="1" applyAlignment="1">
      <alignment horizontal="center" vertical="center" wrapText="1"/>
    </xf>
    <xf numFmtId="0" fontId="0" fillId="14" borderId="2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E98F"/>
      <color rgb="FFBCFFB7"/>
      <color rgb="FFB7FFD2"/>
      <color rgb="FFB7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8</xdr:row>
      <xdr:rowOff>15240</xdr:rowOff>
    </xdr:from>
    <xdr:ext cx="1722120" cy="267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63A63C8-5F9B-4639-A921-68A0322A029B}"/>
                </a:ext>
              </a:extLst>
            </xdr:cNvPr>
            <xdr:cNvSpPr txBox="1"/>
          </xdr:nvSpPr>
          <xdr:spPr>
            <a:xfrm>
              <a:off x="2324100" y="1485900"/>
              <a:ext cx="172212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/>
                      </a:rPr>
                      <m:t>−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13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+12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63A63C8-5F9B-4639-A921-68A0322A029B}"/>
                </a:ext>
              </a:extLst>
            </xdr:cNvPr>
            <xdr:cNvSpPr txBox="1"/>
          </xdr:nvSpPr>
          <xdr:spPr>
            <a:xfrm>
              <a:off x="2324100" y="1485900"/>
              <a:ext cx="172212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𝑓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𝑥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/>
                </a:rPr>
                <a:t>=𝑥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2−</a:t>
              </a:r>
              <a:r>
                <a:rPr lang="ru-RU" sz="1100" b="0" i="0">
                  <a:latin typeface="Cambria Math" panose="02040503050406030204" pitchFamily="18" charset="0"/>
                </a:rPr>
                <a:t>13</a:t>
              </a:r>
              <a:r>
                <a:rPr lang="en-US" sz="1100" b="0" i="0">
                  <a:latin typeface="Cambria Math"/>
                </a:rPr>
                <a:t>𝑥+</a:t>
              </a:r>
              <a:r>
                <a:rPr lang="ru-RU" sz="1100" b="0" i="0">
                  <a:latin typeface="Cambria Math" panose="02040503050406030204" pitchFamily="18" charset="0"/>
                </a:rPr>
                <a:t>12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8</xdr:col>
      <xdr:colOff>681317</xdr:colOff>
      <xdr:row>6</xdr:row>
      <xdr:rowOff>8966</xdr:rowOff>
    </xdr:from>
    <xdr:to>
      <xdr:col>13</xdr:col>
      <xdr:colOff>796513</xdr:colOff>
      <xdr:row>8</xdr:row>
      <xdr:rowOff>132181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7994DC-E826-49A6-5AC4-63FAB4B0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1129" y="1084731"/>
          <a:ext cx="4679577" cy="490768"/>
        </a:xfrm>
        <a:prstGeom prst="rect">
          <a:avLst/>
        </a:prstGeom>
      </xdr:spPr>
    </xdr:pic>
    <xdr:clientData/>
  </xdr:twoCellAnchor>
  <xdr:twoCellAnchor editAs="oneCell">
    <xdr:from>
      <xdr:col>0</xdr:col>
      <xdr:colOff>591670</xdr:colOff>
      <xdr:row>35</xdr:row>
      <xdr:rowOff>107577</xdr:rowOff>
    </xdr:from>
    <xdr:to>
      <xdr:col>3</xdr:col>
      <xdr:colOff>226358</xdr:colOff>
      <xdr:row>38</xdr:row>
      <xdr:rowOff>74328</xdr:rowOff>
    </xdr:to>
    <xdr:pic>
      <xdr:nvPicPr>
        <xdr:cNvPr id="30" name="Рисунок 3">
          <a:extLst>
            <a:ext uri="{FF2B5EF4-FFF2-40B4-BE49-F238E27FC236}">
              <a16:creationId xmlns:a16="http://schemas.microsoft.com/office/drawing/2014/main" id="{B861AA63-74B2-4CCF-ABE5-5A6AF1156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670" y="6615953"/>
          <a:ext cx="2290482" cy="504633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61</xdr:row>
      <xdr:rowOff>26894</xdr:rowOff>
    </xdr:from>
    <xdr:to>
      <xdr:col>5</xdr:col>
      <xdr:colOff>867335</xdr:colOff>
      <xdr:row>64</xdr:row>
      <xdr:rowOff>42497</xdr:rowOff>
    </xdr:to>
    <xdr:pic>
      <xdr:nvPicPr>
        <xdr:cNvPr id="32" name="Рисунок 4">
          <a:extLst>
            <a:ext uri="{FF2B5EF4-FFF2-40B4-BE49-F238E27FC236}">
              <a16:creationId xmlns:a16="http://schemas.microsoft.com/office/drawing/2014/main" id="{8F3984D0-05A6-438C-94F5-D962AB38C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423" y="11214847"/>
          <a:ext cx="4987066" cy="55348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85</xdr:row>
      <xdr:rowOff>167245</xdr:rowOff>
    </xdr:from>
    <xdr:to>
      <xdr:col>4</xdr:col>
      <xdr:colOff>139402</xdr:colOff>
      <xdr:row>90</xdr:row>
      <xdr:rowOff>147459</xdr:rowOff>
    </xdr:to>
    <xdr:pic>
      <xdr:nvPicPr>
        <xdr:cNvPr id="33" name="Рисунок 6">
          <a:extLst>
            <a:ext uri="{FF2B5EF4-FFF2-40B4-BE49-F238E27FC236}">
              <a16:creationId xmlns:a16="http://schemas.microsoft.com/office/drawing/2014/main" id="{EC1AF3F8-6CB2-4F76-9444-9DFC38A9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" y="15955885"/>
          <a:ext cx="3261360" cy="894614"/>
        </a:xfrm>
        <a:prstGeom prst="rect">
          <a:avLst/>
        </a:prstGeom>
      </xdr:spPr>
    </xdr:pic>
    <xdr:clientData/>
  </xdr:twoCellAnchor>
  <xdr:twoCellAnchor editAs="oneCell">
    <xdr:from>
      <xdr:col>17</xdr:col>
      <xdr:colOff>595032</xdr:colOff>
      <xdr:row>87</xdr:row>
      <xdr:rowOff>118607</xdr:rowOff>
    </xdr:from>
    <xdr:to>
      <xdr:col>19</xdr:col>
      <xdr:colOff>264712</xdr:colOff>
      <xdr:row>90</xdr:row>
      <xdr:rowOff>34814</xdr:rowOff>
    </xdr:to>
    <xdr:pic>
      <xdr:nvPicPr>
        <xdr:cNvPr id="34" name="Рисунок 7">
          <a:extLst>
            <a:ext uri="{FF2B5EF4-FFF2-40B4-BE49-F238E27FC236}">
              <a16:creationId xmlns:a16="http://schemas.microsoft.com/office/drawing/2014/main" id="{90D56CD0-E127-4C05-8C3E-BF47AA4C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69519" y="16485042"/>
          <a:ext cx="888880" cy="472798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116</xdr:row>
      <xdr:rowOff>17930</xdr:rowOff>
    </xdr:from>
    <xdr:to>
      <xdr:col>4</xdr:col>
      <xdr:colOff>191061</xdr:colOff>
      <xdr:row>121</xdr:row>
      <xdr:rowOff>57496</xdr:rowOff>
    </xdr:to>
    <xdr:pic>
      <xdr:nvPicPr>
        <xdr:cNvPr id="35" name="Рисунок 8">
          <a:extLst>
            <a:ext uri="{FF2B5EF4-FFF2-40B4-BE49-F238E27FC236}">
              <a16:creationId xmlns:a16="http://schemas.microsoft.com/office/drawing/2014/main" id="{086D0030-2F72-4DC4-B7DC-6C5BA788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494" y="21120848"/>
          <a:ext cx="3292849" cy="936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152961</xdr:colOff>
      <xdr:row>51</xdr:row>
      <xdr:rowOff>26895</xdr:rowOff>
    </xdr:from>
    <xdr:to>
      <xdr:col>7</xdr:col>
      <xdr:colOff>412041</xdr:colOff>
      <xdr:row>57</xdr:row>
      <xdr:rowOff>161364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6D1A9BBC-CAE4-48E0-B063-311B2695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161" y="10174942"/>
          <a:ext cx="3432586" cy="1246093"/>
        </a:xfrm>
        <a:prstGeom prst="rect">
          <a:avLst/>
        </a:prstGeom>
      </xdr:spPr>
    </xdr:pic>
    <xdr:clientData/>
  </xdr:twoCellAnchor>
  <xdr:twoCellAnchor editAs="oneCell">
    <xdr:from>
      <xdr:col>2</xdr:col>
      <xdr:colOff>654423</xdr:colOff>
      <xdr:row>62</xdr:row>
      <xdr:rowOff>17929</xdr:rowOff>
    </xdr:from>
    <xdr:to>
      <xdr:col>6</xdr:col>
      <xdr:colOff>555625</xdr:colOff>
      <xdr:row>63</xdr:row>
      <xdr:rowOff>129464</xdr:rowOff>
    </xdr:to>
    <xdr:pic>
      <xdr:nvPicPr>
        <xdr:cNvPr id="7" name="Рисунок 3">
          <a:extLst>
            <a:ext uri="{FF2B5EF4-FFF2-40B4-BE49-F238E27FC236}">
              <a16:creationId xmlns:a16="http://schemas.microsoft.com/office/drawing/2014/main" id="{E5C093DC-1930-40D0-B4A5-B4A74B784E9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623" y="12192000"/>
          <a:ext cx="2465108" cy="290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40C6-AE30-4D15-ACCB-466CAD66AD7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54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57</v>
      </c>
    </row>
    <row r="7" spans="1:5" x14ac:dyDescent="0.3">
      <c r="A7" s="93"/>
      <c r="B7" t="s">
        <v>58</v>
      </c>
    </row>
    <row r="8" spans="1:5" x14ac:dyDescent="0.3">
      <c r="A8" s="93"/>
      <c r="B8" t="s">
        <v>59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62</v>
      </c>
    </row>
    <row r="12" spans="1:5" x14ac:dyDescent="0.3">
      <c r="B12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3889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4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5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6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10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6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3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8</v>
      </c>
      <c r="E27" s="98">
        <v>99.999999999999986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4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5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</v>
      </c>
      <c r="E30" s="98">
        <v>149.99999999999997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3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1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7</v>
      </c>
      <c r="E33" s="98">
        <v>1.0658141036401503E-14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</v>
      </c>
      <c r="E34" s="98">
        <v>2.4868995751603507E-14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4</v>
      </c>
      <c r="E35" s="98">
        <v>66.541840297165322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2</v>
      </c>
      <c r="E36" s="98">
        <v>83.458159702834635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0</v>
      </c>
      <c r="E39" s="98">
        <v>33.458159702834649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0</v>
      </c>
      <c r="E40" s="97">
        <v>66.541840297165351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50.000000000000014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199.99999999999997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99.999999999999986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149.99999999999997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99.999999999999986</v>
      </c>
      <c r="E60" s="96" t="s">
        <v>154</v>
      </c>
      <c r="F60" s="96" t="s">
        <v>148</v>
      </c>
      <c r="G60" s="98">
        <v>99.999999999999986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149.99999999999997</v>
      </c>
      <c r="E63" s="96" t="s">
        <v>157</v>
      </c>
      <c r="F63" s="96" t="s">
        <v>148</v>
      </c>
      <c r="G63" s="98">
        <v>149.99999999999997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1.0658141036401503E-14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2.4868995751603507E-14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66.541840297165322</v>
      </c>
      <c r="E68" s="96" t="s">
        <v>162</v>
      </c>
      <c r="F68" s="96" t="s">
        <v>148</v>
      </c>
      <c r="G68" s="98">
        <v>66.541840297165322</v>
      </c>
    </row>
    <row r="69" spans="2:7" x14ac:dyDescent="0.3">
      <c r="B69" s="96" t="s">
        <v>109</v>
      </c>
      <c r="C69" s="96" t="s">
        <v>110</v>
      </c>
      <c r="D69" s="98">
        <v>83.458159702834635</v>
      </c>
      <c r="E69" s="96" t="s">
        <v>163</v>
      </c>
      <c r="F69" s="96" t="s">
        <v>148</v>
      </c>
      <c r="G69" s="98">
        <v>83.458159702834635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33.458159702834649</v>
      </c>
      <c r="E72" s="96" t="s">
        <v>166</v>
      </c>
      <c r="F72" s="96" t="s">
        <v>148</v>
      </c>
      <c r="G72" s="98">
        <v>33.458159702834649</v>
      </c>
    </row>
    <row r="73" spans="2:7" ht="15" thickBot="1" x14ac:dyDescent="0.35">
      <c r="B73" s="94" t="s">
        <v>117</v>
      </c>
      <c r="C73" s="94" t="s">
        <v>118</v>
      </c>
      <c r="D73" s="97">
        <v>66.541840297165351</v>
      </c>
      <c r="E73" s="94" t="s">
        <v>167</v>
      </c>
      <c r="F73" s="94" t="s">
        <v>148</v>
      </c>
      <c r="G73" s="97">
        <v>66.541840297165351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EDE9-5725-44DF-B341-0BFCFA2EC302}">
  <dimension ref="A1:E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" bestFit="1" customWidth="1"/>
    <col min="5" max="5" width="12.6640625" bestFit="1" customWidth="1"/>
  </cols>
  <sheetData>
    <row r="1" spans="1:5" x14ac:dyDescent="0.3">
      <c r="A1" s="93" t="s">
        <v>168</v>
      </c>
    </row>
    <row r="2" spans="1:5" x14ac:dyDescent="0.3">
      <c r="A2" s="93" t="s">
        <v>53</v>
      </c>
    </row>
    <row r="3" spans="1:5" x14ac:dyDescent="0.3">
      <c r="A3" s="93" t="s">
        <v>169</v>
      </c>
    </row>
    <row r="6" spans="1:5" ht="15" thickBot="1" x14ac:dyDescent="0.35">
      <c r="A6" t="s">
        <v>69</v>
      </c>
    </row>
    <row r="7" spans="1:5" x14ac:dyDescent="0.3">
      <c r="B7" s="99"/>
      <c r="C7" s="99"/>
      <c r="D7" s="99" t="s">
        <v>170</v>
      </c>
      <c r="E7" s="99" t="s">
        <v>172</v>
      </c>
    </row>
    <row r="8" spans="1:5" ht="15" thickBot="1" x14ac:dyDescent="0.35">
      <c r="B8" s="100" t="s">
        <v>65</v>
      </c>
      <c r="C8" s="100" t="s">
        <v>66</v>
      </c>
      <c r="D8" s="100" t="s">
        <v>171</v>
      </c>
      <c r="E8" s="100" t="s">
        <v>173</v>
      </c>
    </row>
    <row r="9" spans="1:5" x14ac:dyDescent="0.3">
      <c r="B9" s="96" t="s">
        <v>78</v>
      </c>
      <c r="C9" s="96" t="s">
        <v>79</v>
      </c>
      <c r="D9" s="96">
        <v>50</v>
      </c>
      <c r="E9" s="96">
        <v>0</v>
      </c>
    </row>
    <row r="10" spans="1:5" x14ac:dyDescent="0.3">
      <c r="B10" s="96" t="s">
        <v>81</v>
      </c>
      <c r="C10" s="96" t="s">
        <v>82</v>
      </c>
      <c r="D10" s="96">
        <v>0</v>
      </c>
      <c r="E10" s="96">
        <v>99.999999761581421</v>
      </c>
    </row>
    <row r="11" spans="1:5" x14ac:dyDescent="0.3">
      <c r="B11" s="96" t="s">
        <v>83</v>
      </c>
      <c r="C11" s="96" t="s">
        <v>84</v>
      </c>
      <c r="D11" s="96">
        <v>0</v>
      </c>
      <c r="E11" s="96">
        <v>147.99999952316284</v>
      </c>
    </row>
    <row r="12" spans="1:5" x14ac:dyDescent="0.3">
      <c r="B12" s="96" t="s">
        <v>85</v>
      </c>
      <c r="C12" s="96" t="s">
        <v>86</v>
      </c>
      <c r="D12" s="96">
        <v>0</v>
      </c>
      <c r="E12" s="96">
        <v>99.999999523162842</v>
      </c>
    </row>
    <row r="13" spans="1:5" x14ac:dyDescent="0.3">
      <c r="B13" s="96" t="s">
        <v>87</v>
      </c>
      <c r="C13" s="96" t="s">
        <v>88</v>
      </c>
      <c r="D13" s="96">
        <v>0</v>
      </c>
      <c r="E13" s="96">
        <v>0</v>
      </c>
    </row>
    <row r="14" spans="1:5" x14ac:dyDescent="0.3">
      <c r="B14" s="96" t="s">
        <v>89</v>
      </c>
      <c r="C14" s="96" t="s">
        <v>90</v>
      </c>
      <c r="D14" s="96">
        <v>0</v>
      </c>
      <c r="E14" s="96">
        <v>1.0000002384185791</v>
      </c>
    </row>
    <row r="15" spans="1:5" x14ac:dyDescent="0.3">
      <c r="B15" s="96" t="s">
        <v>91</v>
      </c>
      <c r="C15" s="96" t="s">
        <v>92</v>
      </c>
      <c r="D15" s="96">
        <v>99.999999999999986</v>
      </c>
      <c r="E15" s="96">
        <v>0</v>
      </c>
    </row>
    <row r="16" spans="1:5" x14ac:dyDescent="0.3">
      <c r="B16" s="96" t="s">
        <v>93</v>
      </c>
      <c r="C16" s="96" t="s">
        <v>94</v>
      </c>
      <c r="D16" s="96">
        <v>0</v>
      </c>
      <c r="E16" s="96">
        <v>6</v>
      </c>
    </row>
    <row r="17" spans="1:5" x14ac:dyDescent="0.3">
      <c r="B17" s="96" t="s">
        <v>95</v>
      </c>
      <c r="C17" s="96" t="s">
        <v>96</v>
      </c>
      <c r="D17" s="96">
        <v>0</v>
      </c>
      <c r="E17" s="96">
        <v>3.0000002384185791</v>
      </c>
    </row>
    <row r="18" spans="1:5" x14ac:dyDescent="0.3">
      <c r="B18" s="96" t="s">
        <v>97</v>
      </c>
      <c r="C18" s="96" t="s">
        <v>98</v>
      </c>
      <c r="D18" s="96">
        <v>149.99999999999997</v>
      </c>
      <c r="E18" s="96">
        <v>0</v>
      </c>
    </row>
    <row r="19" spans="1:5" x14ac:dyDescent="0.3">
      <c r="B19" s="96" t="s">
        <v>99</v>
      </c>
      <c r="C19" s="96" t="s">
        <v>100</v>
      </c>
      <c r="D19" s="96">
        <v>0</v>
      </c>
      <c r="E19" s="96">
        <v>2.9999997615814209</v>
      </c>
    </row>
    <row r="20" spans="1:5" x14ac:dyDescent="0.3">
      <c r="B20" s="96" t="s">
        <v>101</v>
      </c>
      <c r="C20" s="96" t="s">
        <v>102</v>
      </c>
      <c r="D20" s="96">
        <v>0</v>
      </c>
      <c r="E20" s="96">
        <v>0.9999992847442627</v>
      </c>
    </row>
    <row r="21" spans="1:5" x14ac:dyDescent="0.3">
      <c r="B21" s="96" t="s">
        <v>103</v>
      </c>
      <c r="C21" s="96" t="s">
        <v>104</v>
      </c>
      <c r="D21" s="96">
        <v>1.0658141036401503E-14</v>
      </c>
      <c r="E21" s="96">
        <v>4.0000004768371582</v>
      </c>
    </row>
    <row r="22" spans="1:5" x14ac:dyDescent="0.3">
      <c r="B22" s="96" t="s">
        <v>105</v>
      </c>
      <c r="C22" s="96" t="s">
        <v>106</v>
      </c>
      <c r="D22" s="96">
        <v>2.4868995751603507E-14</v>
      </c>
      <c r="E22" s="96">
        <v>-3.5762786865234375E-7</v>
      </c>
    </row>
    <row r="23" spans="1:5" x14ac:dyDescent="0.3">
      <c r="B23" s="96" t="s">
        <v>107</v>
      </c>
      <c r="C23" s="96" t="s">
        <v>108</v>
      </c>
      <c r="D23" s="96">
        <v>66.541840297165322</v>
      </c>
      <c r="E23" s="96">
        <v>0</v>
      </c>
    </row>
    <row r="24" spans="1:5" x14ac:dyDescent="0.3">
      <c r="B24" s="96" t="s">
        <v>109</v>
      </c>
      <c r="C24" s="96" t="s">
        <v>110</v>
      </c>
      <c r="D24" s="96">
        <v>83.458159702834635</v>
      </c>
      <c r="E24" s="96">
        <v>0</v>
      </c>
    </row>
    <row r="25" spans="1:5" x14ac:dyDescent="0.3">
      <c r="B25" s="96" t="s">
        <v>111</v>
      </c>
      <c r="C25" s="96" t="s">
        <v>112</v>
      </c>
      <c r="D25" s="96">
        <v>0</v>
      </c>
      <c r="E25" s="96">
        <v>5</v>
      </c>
    </row>
    <row r="26" spans="1:5" x14ac:dyDescent="0.3">
      <c r="B26" s="96" t="s">
        <v>113</v>
      </c>
      <c r="C26" s="96" t="s">
        <v>114</v>
      </c>
      <c r="D26" s="96">
        <v>0</v>
      </c>
      <c r="E26" s="96">
        <v>0</v>
      </c>
    </row>
    <row r="27" spans="1:5" x14ac:dyDescent="0.3">
      <c r="B27" s="96" t="s">
        <v>115</v>
      </c>
      <c r="C27" s="96" t="s">
        <v>116</v>
      </c>
      <c r="D27" s="96">
        <v>33.458159702834649</v>
      </c>
      <c r="E27" s="96">
        <v>0</v>
      </c>
    </row>
    <row r="28" spans="1:5" ht="15" thickBot="1" x14ac:dyDescent="0.35">
      <c r="B28" s="94" t="s">
        <v>117</v>
      </c>
      <c r="C28" s="94" t="s">
        <v>118</v>
      </c>
      <c r="D28" s="94">
        <v>66.541840297165351</v>
      </c>
      <c r="E28" s="94">
        <v>0</v>
      </c>
    </row>
    <row r="30" spans="1:5" ht="15" thickBot="1" x14ac:dyDescent="0.35">
      <c r="A30" t="s">
        <v>71</v>
      </c>
    </row>
    <row r="31" spans="1:5" x14ac:dyDescent="0.3">
      <c r="B31" s="99"/>
      <c r="C31" s="99"/>
      <c r="D31" s="99" t="s">
        <v>170</v>
      </c>
      <c r="E31" s="99" t="s">
        <v>174</v>
      </c>
    </row>
    <row r="32" spans="1:5" ht="15" thickBot="1" x14ac:dyDescent="0.35">
      <c r="B32" s="100" t="s">
        <v>65</v>
      </c>
      <c r="C32" s="100" t="s">
        <v>66</v>
      </c>
      <c r="D32" s="100" t="s">
        <v>171</v>
      </c>
      <c r="E32" s="100" t="s">
        <v>175</v>
      </c>
    </row>
    <row r="33" spans="2:5" x14ac:dyDescent="0.3">
      <c r="B33" s="96" t="s">
        <v>119</v>
      </c>
      <c r="C33" s="96" t="s">
        <v>120</v>
      </c>
      <c r="D33" s="96">
        <v>50.000000000000014</v>
      </c>
      <c r="E33" s="96">
        <v>0</v>
      </c>
    </row>
    <row r="34" spans="2:5" x14ac:dyDescent="0.3">
      <c r="B34" s="96" t="s">
        <v>123</v>
      </c>
      <c r="C34" s="96" t="s">
        <v>124</v>
      </c>
      <c r="D34" s="96">
        <v>150</v>
      </c>
      <c r="E34" s="96">
        <v>2.384185791015625E-7</v>
      </c>
    </row>
    <row r="35" spans="2:5" x14ac:dyDescent="0.3">
      <c r="B35" s="96" t="s">
        <v>126</v>
      </c>
      <c r="C35" s="96" t="s">
        <v>127</v>
      </c>
      <c r="D35" s="96">
        <v>199.99999999999997</v>
      </c>
      <c r="E35" s="96">
        <v>2.0000004768371582</v>
      </c>
    </row>
    <row r="36" spans="2:5" x14ac:dyDescent="0.3">
      <c r="B36" s="96" t="s">
        <v>129</v>
      </c>
      <c r="C36" s="96" t="s">
        <v>130</v>
      </c>
      <c r="D36" s="96">
        <v>150</v>
      </c>
      <c r="E36" s="96">
        <v>4.76837158203125E-7</v>
      </c>
    </row>
    <row r="37" spans="2:5" x14ac:dyDescent="0.3">
      <c r="B37" s="96" t="s">
        <v>132</v>
      </c>
      <c r="C37" s="96" t="s">
        <v>133</v>
      </c>
      <c r="D37" s="96">
        <v>50</v>
      </c>
      <c r="E37" s="96">
        <v>50</v>
      </c>
    </row>
    <row r="38" spans="2:5" x14ac:dyDescent="0.3">
      <c r="B38" s="96" t="s">
        <v>135</v>
      </c>
      <c r="C38" s="96" t="s">
        <v>136</v>
      </c>
      <c r="D38" s="96">
        <v>99.999999999999986</v>
      </c>
      <c r="E38" s="96">
        <v>3.9999995231628418</v>
      </c>
    </row>
    <row r="39" spans="2:5" x14ac:dyDescent="0.3">
      <c r="B39" s="96" t="s">
        <v>138</v>
      </c>
      <c r="C39" s="96" t="s">
        <v>139</v>
      </c>
      <c r="D39" s="96">
        <v>149.99999999999997</v>
      </c>
      <c r="E39" s="96">
        <v>2.9999997615814209</v>
      </c>
    </row>
    <row r="40" spans="2:5" x14ac:dyDescent="0.3">
      <c r="B40" s="96" t="s">
        <v>141</v>
      </c>
      <c r="C40" s="96" t="s">
        <v>142</v>
      </c>
      <c r="D40" s="96">
        <v>150</v>
      </c>
      <c r="E40" s="96">
        <v>0.9999995231628418</v>
      </c>
    </row>
    <row r="41" spans="2:5" ht="15" thickBot="1" x14ac:dyDescent="0.35">
      <c r="B41" s="94" t="s">
        <v>144</v>
      </c>
      <c r="C41" s="94" t="s">
        <v>145</v>
      </c>
      <c r="D41" s="94">
        <v>100</v>
      </c>
      <c r="E41" s="94">
        <v>1.9999995231628418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9E4-8386-4F45-B228-56B62CF1AD5D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12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169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99.999999999999986</v>
      </c>
      <c r="F19" s="98">
        <v>99.999999999999986</v>
      </c>
      <c r="G19" s="98">
        <v>4100</v>
      </c>
      <c r="I19" s="98">
        <v>99.999999999999986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149.99999999999997</v>
      </c>
      <c r="F22" s="98">
        <v>149.99999999999997</v>
      </c>
      <c r="G22" s="98">
        <v>4100</v>
      </c>
      <c r="I22" s="98">
        <v>149.99999999999997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1.0658141036401503E-14</v>
      </c>
      <c r="F25" s="98">
        <v>1.0658141036401503E-14</v>
      </c>
      <c r="G25" s="98">
        <v>4100</v>
      </c>
      <c r="I25" s="98">
        <v>1.0658141036401503E-14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2.4868995751603507E-14</v>
      </c>
      <c r="F26" s="98">
        <v>2.4868995751603507E-14</v>
      </c>
      <c r="G26" s="98">
        <v>4100</v>
      </c>
      <c r="I26" s="98">
        <v>2.4868995751603507E-14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66.541840297165322</v>
      </c>
      <c r="F27" s="98">
        <v>66.541840297165322</v>
      </c>
      <c r="G27" s="98">
        <v>4100</v>
      </c>
      <c r="I27" s="98">
        <v>66.541840297165322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83.458159702834635</v>
      </c>
      <c r="F28" s="98">
        <v>83.458159702834635</v>
      </c>
      <c r="G28" s="98">
        <v>4100</v>
      </c>
      <c r="I28" s="98">
        <v>83.458159702834635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33.458159702834649</v>
      </c>
      <c r="F31" s="98">
        <v>33.458159702834649</v>
      </c>
      <c r="G31" s="98">
        <v>4100</v>
      </c>
      <c r="I31" s="98">
        <v>33.458159702834649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66.541840297165351</v>
      </c>
      <c r="F32" s="97">
        <v>66.541840297165351</v>
      </c>
      <c r="G32" s="97">
        <v>4100</v>
      </c>
      <c r="I32" s="97">
        <v>66.541840297165351</v>
      </c>
      <c r="J32" s="97">
        <v>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091-8936-46BE-8DCE-5E605AC5D2C2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183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184</v>
      </c>
    </row>
    <row r="7" spans="1:5" x14ac:dyDescent="0.3">
      <c r="A7" s="93"/>
      <c r="B7" t="s">
        <v>185</v>
      </c>
    </row>
    <row r="8" spans="1:5" x14ac:dyDescent="0.3">
      <c r="A8" s="93"/>
      <c r="B8" t="s">
        <v>186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4100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50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0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0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0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0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99.999999999999986</v>
      </c>
      <c r="E27" s="98">
        <v>100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0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0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149.99999999999997</v>
      </c>
      <c r="E30" s="98">
        <v>150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0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0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1.0658141036401503E-14</v>
      </c>
      <c r="E33" s="98">
        <v>0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2.4868995751603507E-14</v>
      </c>
      <c r="E34" s="98">
        <v>0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66.541840297165322</v>
      </c>
      <c r="E35" s="98">
        <v>0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83.458159702834635</v>
      </c>
      <c r="E36" s="98">
        <v>150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33.458159702834649</v>
      </c>
      <c r="E39" s="98">
        <v>100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66.541840297165351</v>
      </c>
      <c r="E40" s="97">
        <v>0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200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100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150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100</v>
      </c>
      <c r="E60" s="96" t="s">
        <v>154</v>
      </c>
      <c r="F60" s="96" t="s">
        <v>148</v>
      </c>
      <c r="G60" s="98">
        <v>100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150</v>
      </c>
      <c r="E63" s="96" t="s">
        <v>157</v>
      </c>
      <c r="F63" s="96" t="s">
        <v>148</v>
      </c>
      <c r="G63" s="98">
        <v>150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0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0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0</v>
      </c>
      <c r="E68" s="96" t="s">
        <v>162</v>
      </c>
      <c r="F68" s="96" t="s">
        <v>122</v>
      </c>
      <c r="G68" s="98">
        <v>0</v>
      </c>
    </row>
    <row r="69" spans="2:7" x14ac:dyDescent="0.3">
      <c r="B69" s="96" t="s">
        <v>109</v>
      </c>
      <c r="C69" s="96" t="s">
        <v>110</v>
      </c>
      <c r="D69" s="98">
        <v>150</v>
      </c>
      <c r="E69" s="96" t="s">
        <v>163</v>
      </c>
      <c r="F69" s="96" t="s">
        <v>148</v>
      </c>
      <c r="G69" s="98">
        <v>150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100</v>
      </c>
      <c r="E72" s="96" t="s">
        <v>166</v>
      </c>
      <c r="F72" s="96" t="s">
        <v>148</v>
      </c>
      <c r="G72" s="98">
        <v>100</v>
      </c>
    </row>
    <row r="73" spans="2:7" ht="15" thickBot="1" x14ac:dyDescent="0.35">
      <c r="B73" s="94" t="s">
        <v>117</v>
      </c>
      <c r="C73" s="94" t="s">
        <v>118</v>
      </c>
      <c r="D73" s="97">
        <v>0</v>
      </c>
      <c r="E73" s="94" t="s">
        <v>167</v>
      </c>
      <c r="F73" s="94" t="s">
        <v>122</v>
      </c>
      <c r="G73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E18-0DB1-4A5E-947C-E1524FE1C300}">
  <dimension ref="A1:H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93" t="s">
        <v>168</v>
      </c>
    </row>
    <row r="2" spans="1:8" x14ac:dyDescent="0.3">
      <c r="A2" s="93" t="s">
        <v>53</v>
      </c>
    </row>
    <row r="3" spans="1:8" x14ac:dyDescent="0.3">
      <c r="A3" s="93" t="s">
        <v>187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78</v>
      </c>
      <c r="C9" s="96" t="s">
        <v>79</v>
      </c>
      <c r="D9" s="96">
        <v>50</v>
      </c>
      <c r="E9" s="96">
        <v>0</v>
      </c>
      <c r="F9" s="96">
        <v>50</v>
      </c>
      <c r="G9" s="96">
        <v>100</v>
      </c>
      <c r="H9" s="96">
        <v>1E+30</v>
      </c>
    </row>
    <row r="10" spans="1:8" x14ac:dyDescent="0.3">
      <c r="B10" s="96" t="s">
        <v>81</v>
      </c>
      <c r="C10" s="96" t="s">
        <v>82</v>
      </c>
      <c r="D10" s="96">
        <v>0</v>
      </c>
      <c r="E10" s="96">
        <v>0</v>
      </c>
      <c r="F10" s="96">
        <v>150</v>
      </c>
      <c r="G10" s="96">
        <v>0</v>
      </c>
      <c r="H10" s="96">
        <v>1</v>
      </c>
    </row>
    <row r="11" spans="1:8" x14ac:dyDescent="0.3">
      <c r="B11" s="96" t="s">
        <v>83</v>
      </c>
      <c r="C11" s="96" t="s">
        <v>84</v>
      </c>
      <c r="D11" s="96">
        <v>0</v>
      </c>
      <c r="E11" s="96">
        <v>48</v>
      </c>
      <c r="F11" s="96">
        <v>200</v>
      </c>
      <c r="G11" s="96">
        <v>1E+30</v>
      </c>
      <c r="H11" s="96">
        <v>48</v>
      </c>
    </row>
    <row r="12" spans="1:8" x14ac:dyDescent="0.3">
      <c r="B12" s="96" t="s">
        <v>85</v>
      </c>
      <c r="C12" s="96" t="s">
        <v>86</v>
      </c>
      <c r="D12" s="96">
        <v>0</v>
      </c>
      <c r="E12" s="96">
        <v>0</v>
      </c>
      <c r="F12" s="96">
        <v>150</v>
      </c>
      <c r="G12" s="96">
        <v>1</v>
      </c>
      <c r="H12" s="96">
        <v>0</v>
      </c>
    </row>
    <row r="13" spans="1:8" x14ac:dyDescent="0.3">
      <c r="B13" s="96" t="s">
        <v>87</v>
      </c>
      <c r="C13" s="96" t="s">
        <v>88</v>
      </c>
      <c r="D13" s="96">
        <v>0</v>
      </c>
      <c r="E13" s="96">
        <v>100</v>
      </c>
      <c r="F13" s="96">
        <v>4</v>
      </c>
      <c r="G13" s="96">
        <v>1E+30</v>
      </c>
      <c r="H13" s="96">
        <v>100</v>
      </c>
    </row>
    <row r="14" spans="1:8" x14ac:dyDescent="0.3">
      <c r="B14" s="96" t="s">
        <v>89</v>
      </c>
      <c r="C14" s="96" t="s">
        <v>90</v>
      </c>
      <c r="D14" s="96">
        <v>0</v>
      </c>
      <c r="E14" s="96">
        <v>1</v>
      </c>
      <c r="F14" s="96">
        <v>5</v>
      </c>
      <c r="G14" s="96">
        <v>1E+30</v>
      </c>
      <c r="H14" s="96">
        <v>1</v>
      </c>
    </row>
    <row r="15" spans="1:8" x14ac:dyDescent="0.3">
      <c r="B15" s="96" t="s">
        <v>91</v>
      </c>
      <c r="C15" s="96" t="s">
        <v>92</v>
      </c>
      <c r="D15" s="96">
        <v>100</v>
      </c>
      <c r="E15" s="96">
        <v>0</v>
      </c>
      <c r="F15" s="96">
        <v>6</v>
      </c>
      <c r="G15" s="96">
        <v>1</v>
      </c>
      <c r="H15" s="96">
        <v>1E+30</v>
      </c>
    </row>
    <row r="16" spans="1:8" x14ac:dyDescent="0.3">
      <c r="B16" s="96" t="s">
        <v>93</v>
      </c>
      <c r="C16" s="96" t="s">
        <v>94</v>
      </c>
      <c r="D16" s="96">
        <v>0</v>
      </c>
      <c r="E16" s="96">
        <v>6</v>
      </c>
      <c r="F16" s="96">
        <v>10</v>
      </c>
      <c r="G16" s="96">
        <v>1E+30</v>
      </c>
      <c r="H16" s="96">
        <v>6</v>
      </c>
    </row>
    <row r="17" spans="1:8" x14ac:dyDescent="0.3">
      <c r="B17" s="96" t="s">
        <v>95</v>
      </c>
      <c r="C17" s="96" t="s">
        <v>96</v>
      </c>
      <c r="D17" s="96">
        <v>0</v>
      </c>
      <c r="E17" s="96">
        <v>103</v>
      </c>
      <c r="F17" s="96">
        <v>6</v>
      </c>
      <c r="G17" s="96">
        <v>1E+30</v>
      </c>
      <c r="H17" s="96">
        <v>103</v>
      </c>
    </row>
    <row r="18" spans="1:8" x14ac:dyDescent="0.3">
      <c r="B18" s="96" t="s">
        <v>97</v>
      </c>
      <c r="C18" s="96" t="s">
        <v>98</v>
      </c>
      <c r="D18" s="96">
        <v>150</v>
      </c>
      <c r="E18" s="96">
        <v>0</v>
      </c>
      <c r="F18" s="96">
        <v>3</v>
      </c>
      <c r="G18" s="96">
        <v>1</v>
      </c>
      <c r="H18" s="96">
        <v>1E+30</v>
      </c>
    </row>
    <row r="19" spans="1:8" x14ac:dyDescent="0.3">
      <c r="B19" s="96" t="s">
        <v>99</v>
      </c>
      <c r="C19" s="96" t="s">
        <v>100</v>
      </c>
      <c r="D19" s="96">
        <v>0</v>
      </c>
      <c r="E19" s="96">
        <v>3</v>
      </c>
      <c r="F19" s="96">
        <v>8</v>
      </c>
      <c r="G19" s="96">
        <v>1E+30</v>
      </c>
      <c r="H19" s="96">
        <v>3</v>
      </c>
    </row>
    <row r="20" spans="1:8" x14ac:dyDescent="0.3">
      <c r="B20" s="96" t="s">
        <v>101</v>
      </c>
      <c r="C20" s="96" t="s">
        <v>102</v>
      </c>
      <c r="D20" s="96">
        <v>0</v>
      </c>
      <c r="E20" s="96">
        <v>1</v>
      </c>
      <c r="F20" s="96">
        <v>4</v>
      </c>
      <c r="G20" s="96">
        <v>1E+30</v>
      </c>
      <c r="H20" s="96">
        <v>1</v>
      </c>
    </row>
    <row r="21" spans="1:8" x14ac:dyDescent="0.3">
      <c r="B21" s="96" t="s">
        <v>103</v>
      </c>
      <c r="C21" s="96" t="s">
        <v>104</v>
      </c>
      <c r="D21" s="96">
        <v>0</v>
      </c>
      <c r="E21" s="96">
        <v>104</v>
      </c>
      <c r="F21" s="96">
        <v>5</v>
      </c>
      <c r="G21" s="96">
        <v>1E+30</v>
      </c>
      <c r="H21" s="96">
        <v>104</v>
      </c>
    </row>
    <row r="22" spans="1:8" x14ac:dyDescent="0.3">
      <c r="B22" s="96" t="s">
        <v>105</v>
      </c>
      <c r="C22" s="96" t="s">
        <v>106</v>
      </c>
      <c r="D22" s="96">
        <v>0</v>
      </c>
      <c r="E22" s="96">
        <v>0</v>
      </c>
      <c r="F22" s="96">
        <v>1</v>
      </c>
      <c r="G22" s="96">
        <v>1E+30</v>
      </c>
      <c r="H22" s="96">
        <v>0</v>
      </c>
    </row>
    <row r="23" spans="1:8" x14ac:dyDescent="0.3">
      <c r="B23" s="96" t="s">
        <v>107</v>
      </c>
      <c r="C23" s="96" t="s">
        <v>108</v>
      </c>
      <c r="D23" s="96">
        <v>0</v>
      </c>
      <c r="E23" s="96">
        <v>0</v>
      </c>
      <c r="F23" s="96">
        <v>3</v>
      </c>
      <c r="G23" s="96">
        <v>3</v>
      </c>
      <c r="H23" s="96">
        <v>0</v>
      </c>
    </row>
    <row r="24" spans="1:8" x14ac:dyDescent="0.3">
      <c r="B24" s="96" t="s">
        <v>109</v>
      </c>
      <c r="C24" s="96" t="s">
        <v>110</v>
      </c>
      <c r="D24" s="96">
        <v>150</v>
      </c>
      <c r="E24" s="96">
        <v>0</v>
      </c>
      <c r="F24" s="96">
        <v>1</v>
      </c>
      <c r="G24" s="96">
        <v>0</v>
      </c>
      <c r="H24" s="96">
        <v>3</v>
      </c>
    </row>
    <row r="25" spans="1:8" x14ac:dyDescent="0.3">
      <c r="B25" s="96" t="s">
        <v>111</v>
      </c>
      <c r="C25" s="96" t="s">
        <v>112</v>
      </c>
      <c r="D25" s="96">
        <v>0</v>
      </c>
      <c r="E25" s="96">
        <v>105</v>
      </c>
      <c r="F25" s="96">
        <v>7</v>
      </c>
      <c r="G25" s="96">
        <v>1E+30</v>
      </c>
      <c r="H25" s="96">
        <v>105</v>
      </c>
    </row>
    <row r="26" spans="1:8" x14ac:dyDescent="0.3">
      <c r="B26" s="96" t="s">
        <v>113</v>
      </c>
      <c r="C26" s="96" t="s">
        <v>114</v>
      </c>
      <c r="D26" s="96">
        <v>0</v>
      </c>
      <c r="E26" s="96">
        <v>0</v>
      </c>
      <c r="F26" s="96">
        <v>2</v>
      </c>
      <c r="G26" s="96">
        <v>1E+30</v>
      </c>
      <c r="H26" s="96">
        <v>0</v>
      </c>
    </row>
    <row r="27" spans="1:8" x14ac:dyDescent="0.3">
      <c r="B27" s="96" t="s">
        <v>115</v>
      </c>
      <c r="C27" s="96" t="s">
        <v>116</v>
      </c>
      <c r="D27" s="96">
        <v>100</v>
      </c>
      <c r="E27" s="96">
        <v>0</v>
      </c>
      <c r="F27" s="96">
        <v>4</v>
      </c>
      <c r="G27" s="96">
        <v>0</v>
      </c>
      <c r="H27" s="96">
        <v>1E+30</v>
      </c>
    </row>
    <row r="28" spans="1:8" ht="15" thickBot="1" x14ac:dyDescent="0.35">
      <c r="B28" s="94" t="s">
        <v>117</v>
      </c>
      <c r="C28" s="94" t="s">
        <v>118</v>
      </c>
      <c r="D28" s="94">
        <v>0</v>
      </c>
      <c r="E28" s="94">
        <v>0</v>
      </c>
      <c r="F28" s="94">
        <v>2</v>
      </c>
      <c r="G28" s="94">
        <v>1E+30</v>
      </c>
      <c r="H28" s="94">
        <v>0</v>
      </c>
    </row>
    <row r="30" spans="1:8" ht="15" thickBot="1" x14ac:dyDescent="0.35">
      <c r="A30" t="s">
        <v>71</v>
      </c>
    </row>
    <row r="31" spans="1:8" x14ac:dyDescent="0.3">
      <c r="B31" s="99"/>
      <c r="C31" s="99"/>
      <c r="D31" s="99" t="s">
        <v>170</v>
      </c>
      <c r="E31" s="99" t="s">
        <v>193</v>
      </c>
      <c r="F31" s="99" t="s">
        <v>195</v>
      </c>
      <c r="G31" s="99" t="s">
        <v>190</v>
      </c>
      <c r="H31" s="99" t="s">
        <v>190</v>
      </c>
    </row>
    <row r="32" spans="1:8" ht="15" thickBot="1" x14ac:dyDescent="0.35">
      <c r="B32" s="100" t="s">
        <v>65</v>
      </c>
      <c r="C32" s="100" t="s">
        <v>66</v>
      </c>
      <c r="D32" s="100" t="s">
        <v>171</v>
      </c>
      <c r="E32" s="100" t="s">
        <v>194</v>
      </c>
      <c r="F32" s="100" t="s">
        <v>196</v>
      </c>
      <c r="G32" s="100" t="s">
        <v>191</v>
      </c>
      <c r="H32" s="100" t="s">
        <v>192</v>
      </c>
    </row>
    <row r="33" spans="2:8" x14ac:dyDescent="0.3">
      <c r="B33" s="96" t="s">
        <v>119</v>
      </c>
      <c r="C33" s="96" t="s">
        <v>120</v>
      </c>
      <c r="D33" s="96">
        <v>50</v>
      </c>
      <c r="E33" s="96">
        <v>-97</v>
      </c>
      <c r="F33" s="96">
        <v>50</v>
      </c>
      <c r="G33" s="96">
        <v>0</v>
      </c>
      <c r="H33" s="96">
        <v>50</v>
      </c>
    </row>
    <row r="34" spans="2:8" x14ac:dyDescent="0.3">
      <c r="B34" s="96" t="s">
        <v>123</v>
      </c>
      <c r="C34" s="96" t="s">
        <v>124</v>
      </c>
      <c r="D34" s="96">
        <v>150</v>
      </c>
      <c r="E34" s="96">
        <v>3</v>
      </c>
      <c r="F34" s="96">
        <v>150</v>
      </c>
      <c r="G34" s="96">
        <v>0</v>
      </c>
      <c r="H34" s="96">
        <v>150</v>
      </c>
    </row>
    <row r="35" spans="2:8" x14ac:dyDescent="0.3">
      <c r="B35" s="96" t="s">
        <v>126</v>
      </c>
      <c r="C35" s="96" t="s">
        <v>127</v>
      </c>
      <c r="D35" s="96">
        <v>200</v>
      </c>
      <c r="E35" s="96">
        <v>5</v>
      </c>
      <c r="F35" s="96">
        <v>200</v>
      </c>
      <c r="G35" s="96">
        <v>0</v>
      </c>
      <c r="H35" s="96">
        <v>0</v>
      </c>
    </row>
    <row r="36" spans="2:8" x14ac:dyDescent="0.3">
      <c r="B36" s="96" t="s">
        <v>129</v>
      </c>
      <c r="C36" s="96" t="s">
        <v>130</v>
      </c>
      <c r="D36" s="96">
        <v>150</v>
      </c>
      <c r="E36" s="96">
        <v>3</v>
      </c>
      <c r="F36" s="96">
        <v>150</v>
      </c>
      <c r="G36" s="96">
        <v>0</v>
      </c>
      <c r="H36" s="96">
        <v>0</v>
      </c>
    </row>
    <row r="37" spans="2:8" x14ac:dyDescent="0.3">
      <c r="B37" s="96" t="s">
        <v>132</v>
      </c>
      <c r="C37" s="96" t="s">
        <v>133</v>
      </c>
      <c r="D37" s="96">
        <v>50</v>
      </c>
      <c r="E37" s="96">
        <v>147</v>
      </c>
      <c r="F37" s="96">
        <v>50</v>
      </c>
      <c r="G37" s="96">
        <v>150</v>
      </c>
      <c r="H37" s="96">
        <v>0</v>
      </c>
    </row>
    <row r="38" spans="2:8" x14ac:dyDescent="0.3">
      <c r="B38" s="96" t="s">
        <v>135</v>
      </c>
      <c r="C38" s="96" t="s">
        <v>136</v>
      </c>
      <c r="D38" s="96">
        <v>100</v>
      </c>
      <c r="E38" s="96">
        <v>1</v>
      </c>
      <c r="F38" s="96">
        <v>100</v>
      </c>
      <c r="G38" s="96">
        <v>0</v>
      </c>
      <c r="H38" s="96">
        <v>0</v>
      </c>
    </row>
    <row r="39" spans="2:8" x14ac:dyDescent="0.3">
      <c r="B39" s="96" t="s">
        <v>138</v>
      </c>
      <c r="C39" s="96" t="s">
        <v>139</v>
      </c>
      <c r="D39" s="96">
        <v>150</v>
      </c>
      <c r="E39" s="96">
        <v>0</v>
      </c>
      <c r="F39" s="96">
        <v>150</v>
      </c>
      <c r="G39" s="96">
        <v>0</v>
      </c>
      <c r="H39" s="96">
        <v>1E+30</v>
      </c>
    </row>
    <row r="40" spans="2:8" x14ac:dyDescent="0.3">
      <c r="B40" s="96" t="s">
        <v>141</v>
      </c>
      <c r="C40" s="96" t="s">
        <v>142</v>
      </c>
      <c r="D40" s="96">
        <v>150</v>
      </c>
      <c r="E40" s="96">
        <v>-2</v>
      </c>
      <c r="F40" s="96">
        <v>150</v>
      </c>
      <c r="G40" s="96">
        <v>0</v>
      </c>
      <c r="H40" s="96">
        <v>0</v>
      </c>
    </row>
    <row r="41" spans="2:8" ht="15" thickBot="1" x14ac:dyDescent="0.35">
      <c r="B41" s="94" t="s">
        <v>144</v>
      </c>
      <c r="C41" s="94" t="s">
        <v>145</v>
      </c>
      <c r="D41" s="94">
        <v>100</v>
      </c>
      <c r="E41" s="94">
        <v>-1</v>
      </c>
      <c r="F41" s="94">
        <v>100</v>
      </c>
      <c r="G41" s="94">
        <v>0</v>
      </c>
      <c r="H41" s="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039-F278-41A5-8867-0F36DA8AFBE0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187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100</v>
      </c>
      <c r="F19" s="98">
        <v>100</v>
      </c>
      <c r="G19" s="98">
        <v>4100</v>
      </c>
      <c r="I19" s="98">
        <v>100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150</v>
      </c>
      <c r="F22" s="98">
        <v>150</v>
      </c>
      <c r="G22" s="98">
        <v>4100</v>
      </c>
      <c r="I22" s="98">
        <v>150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0</v>
      </c>
      <c r="F25" s="98">
        <v>0</v>
      </c>
      <c r="G25" s="98">
        <v>4100</v>
      </c>
      <c r="I25" s="98">
        <v>0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0</v>
      </c>
      <c r="F26" s="98">
        <v>0</v>
      </c>
      <c r="G26" s="98">
        <v>4100</v>
      </c>
      <c r="I26" s="98">
        <v>0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0</v>
      </c>
      <c r="F27" s="98">
        <v>0</v>
      </c>
      <c r="G27" s="98">
        <v>4100</v>
      </c>
      <c r="I27" s="98">
        <v>0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150</v>
      </c>
      <c r="F28" s="98">
        <v>150</v>
      </c>
      <c r="G28" s="98">
        <v>4100</v>
      </c>
      <c r="I28" s="98">
        <v>150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100</v>
      </c>
      <c r="F31" s="98">
        <v>100</v>
      </c>
      <c r="G31" s="98">
        <v>4100</v>
      </c>
      <c r="I31" s="98">
        <v>100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0</v>
      </c>
      <c r="F32" s="97">
        <v>0</v>
      </c>
      <c r="G32" s="97">
        <v>4100</v>
      </c>
      <c r="I32" s="97">
        <v>0</v>
      </c>
      <c r="J32" s="97">
        <v>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F98B-1BDD-4B17-9EEC-3A8A3F1783C5}">
  <dimension ref="A1:H20"/>
  <sheetViews>
    <sheetView showGridLines="0" workbookViewId="0">
      <selection activeCell="E17" sqref="E17:E20"/>
    </sheetView>
  </sheetViews>
  <sheetFormatPr defaultRowHeight="14.4" x14ac:dyDescent="0.3"/>
  <cols>
    <col min="1" max="1" width="2.33203125" customWidth="1"/>
    <col min="2" max="2" width="5.6640625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247</v>
      </c>
    </row>
    <row r="3" spans="1:8" x14ac:dyDescent="0.3">
      <c r="A3" s="93" t="s">
        <v>248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249</v>
      </c>
      <c r="C9" s="96" t="s">
        <v>250</v>
      </c>
      <c r="D9" s="96">
        <v>3.8834951456310676E-2</v>
      </c>
      <c r="E9" s="96">
        <v>0</v>
      </c>
      <c r="F9" s="96">
        <v>1</v>
      </c>
      <c r="G9" s="96">
        <v>0.42857142857142844</v>
      </c>
      <c r="H9" s="96">
        <v>0.90909090909090973</v>
      </c>
    </row>
    <row r="10" spans="1:8" x14ac:dyDescent="0.3">
      <c r="B10" s="96" t="s">
        <v>251</v>
      </c>
      <c r="C10" s="96" t="s">
        <v>252</v>
      </c>
      <c r="D10" s="96">
        <v>8.7378640776699018E-2</v>
      </c>
      <c r="E10" s="96">
        <v>0</v>
      </c>
      <c r="F10" s="96">
        <v>1</v>
      </c>
      <c r="G10" s="96">
        <v>9.9999999999999787</v>
      </c>
      <c r="H10" s="96">
        <v>0.29999999999999993</v>
      </c>
    </row>
    <row r="11" spans="1:8" x14ac:dyDescent="0.3">
      <c r="B11" s="96" t="s">
        <v>253</v>
      </c>
      <c r="C11" s="96" t="s">
        <v>254</v>
      </c>
      <c r="D11" s="96">
        <v>0</v>
      </c>
      <c r="E11" s="96">
        <v>0.48543689320388356</v>
      </c>
      <c r="F11" s="96">
        <v>1</v>
      </c>
      <c r="G11" s="96">
        <v>1E+30</v>
      </c>
      <c r="H11" s="96">
        <v>0.48543689320388356</v>
      </c>
    </row>
    <row r="12" spans="1:8" ht="15" thickBot="1" x14ac:dyDescent="0.35">
      <c r="B12" s="94" t="s">
        <v>255</v>
      </c>
      <c r="C12" s="94" t="s">
        <v>256</v>
      </c>
      <c r="D12" s="94">
        <v>0</v>
      </c>
      <c r="E12" s="94">
        <v>0.58252427184466005</v>
      </c>
      <c r="F12" s="94">
        <v>1</v>
      </c>
      <c r="G12" s="94">
        <v>1E+30</v>
      </c>
      <c r="H12" s="94">
        <v>0.58252427184466005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257</v>
      </c>
      <c r="C17" s="96" t="s">
        <v>258</v>
      </c>
      <c r="D17" s="96">
        <v>0.99999999999999989</v>
      </c>
      <c r="E17" s="96">
        <v>9.7087378640776725E-2</v>
      </c>
      <c r="F17" s="96">
        <v>1</v>
      </c>
      <c r="G17" s="96">
        <v>9.0000000000000284</v>
      </c>
      <c r="H17" s="96">
        <v>8.8235294117647051E-2</v>
      </c>
    </row>
    <row r="18" spans="2:8" x14ac:dyDescent="0.3">
      <c r="B18" s="96" t="s">
        <v>259</v>
      </c>
      <c r="C18" s="96" t="s">
        <v>260</v>
      </c>
      <c r="D18" s="96">
        <v>1.058252427184466</v>
      </c>
      <c r="E18" s="96">
        <v>0</v>
      </c>
      <c r="F18" s="96">
        <v>1</v>
      </c>
      <c r="G18" s="96">
        <v>5.8252427184466035E-2</v>
      </c>
      <c r="H18" s="96">
        <v>1E+30</v>
      </c>
    </row>
    <row r="19" spans="2:8" x14ac:dyDescent="0.3">
      <c r="B19" s="96" t="s">
        <v>261</v>
      </c>
      <c r="C19" s="96" t="s">
        <v>262</v>
      </c>
      <c r="D19" s="96">
        <v>0.99999999999999989</v>
      </c>
      <c r="E19" s="96">
        <v>2.9126213592233007E-2</v>
      </c>
      <c r="F19" s="96">
        <v>1</v>
      </c>
      <c r="G19" s="96">
        <v>0.57142857142857129</v>
      </c>
      <c r="H19" s="96">
        <v>0.14634146341463419</v>
      </c>
    </row>
    <row r="20" spans="2:8" ht="15" thickBot="1" x14ac:dyDescent="0.35">
      <c r="B20" s="94" t="s">
        <v>263</v>
      </c>
      <c r="C20" s="94" t="s">
        <v>264</v>
      </c>
      <c r="D20" s="94">
        <v>1.0970873786407767</v>
      </c>
      <c r="E20" s="94">
        <v>0</v>
      </c>
      <c r="F20" s="94">
        <v>1</v>
      </c>
      <c r="G20" s="94">
        <v>9.7087378640776656E-2</v>
      </c>
      <c r="H20" s="94">
        <v>1E+30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8485-BC60-400A-97E5-AB7B49170033}">
  <dimension ref="A1:H20"/>
  <sheetViews>
    <sheetView showGridLines="0" workbookViewId="0">
      <selection activeCell="E23" sqref="E23"/>
    </sheetView>
  </sheetViews>
  <sheetFormatPr defaultRowHeight="14.4" x14ac:dyDescent="0.3"/>
  <cols>
    <col min="1" max="1" width="2.33203125" customWidth="1"/>
    <col min="2" max="2" width="6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265</v>
      </c>
    </row>
    <row r="3" spans="1:8" x14ac:dyDescent="0.3">
      <c r="A3" s="93" t="s">
        <v>266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267</v>
      </c>
      <c r="C9" s="96" t="s">
        <v>250</v>
      </c>
      <c r="D9" s="96">
        <v>3.6666666666666667E-2</v>
      </c>
      <c r="E9" s="96">
        <v>0</v>
      </c>
      <c r="F9" s="96">
        <v>1</v>
      </c>
      <c r="G9" s="96">
        <v>0</v>
      </c>
      <c r="H9" s="96">
        <v>4.4408920985006262E-16</v>
      </c>
    </row>
    <row r="10" spans="1:8" x14ac:dyDescent="0.3">
      <c r="B10" s="96" t="s">
        <v>268</v>
      </c>
      <c r="C10" s="96" t="s">
        <v>252</v>
      </c>
      <c r="D10" s="96">
        <v>0</v>
      </c>
      <c r="E10" s="96">
        <v>0</v>
      </c>
      <c r="F10" s="96">
        <v>1</v>
      </c>
      <c r="G10" s="96">
        <v>1E+30</v>
      </c>
      <c r="H10" s="96">
        <v>0</v>
      </c>
    </row>
    <row r="11" spans="1:8" x14ac:dyDescent="0.3">
      <c r="B11" s="96" t="s">
        <v>269</v>
      </c>
      <c r="C11" s="96" t="s">
        <v>254</v>
      </c>
      <c r="D11" s="96">
        <v>0.05</v>
      </c>
      <c r="E11" s="96">
        <v>0</v>
      </c>
      <c r="F11" s="96">
        <v>1</v>
      </c>
      <c r="G11" s="96">
        <v>0</v>
      </c>
      <c r="H11" s="96">
        <v>1.0666666666666667</v>
      </c>
    </row>
    <row r="12" spans="1:8" ht="15" thickBot="1" x14ac:dyDescent="0.35">
      <c r="B12" s="94" t="s">
        <v>270</v>
      </c>
      <c r="C12" s="94" t="s">
        <v>256</v>
      </c>
      <c r="D12" s="94">
        <v>0</v>
      </c>
      <c r="E12" s="94">
        <v>2.2204460492503131E-16</v>
      </c>
      <c r="F12" s="94">
        <v>1</v>
      </c>
      <c r="G12" s="94">
        <v>1E+30</v>
      </c>
      <c r="H12" s="94">
        <v>2.2204460492503131E-16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271</v>
      </c>
      <c r="C17" s="96" t="s">
        <v>258</v>
      </c>
      <c r="D17" s="96">
        <v>1</v>
      </c>
      <c r="E17" s="96">
        <v>3.333333333333334E-2</v>
      </c>
      <c r="F17" s="96">
        <v>1</v>
      </c>
      <c r="G17" s="96">
        <v>1E+30</v>
      </c>
      <c r="H17" s="96">
        <v>0.65</v>
      </c>
    </row>
    <row r="18" spans="2:8" x14ac:dyDescent="0.3">
      <c r="B18" s="96" t="s">
        <v>272</v>
      </c>
      <c r="C18" s="96" t="s">
        <v>260</v>
      </c>
      <c r="D18" s="96">
        <v>1.4333333333333336</v>
      </c>
      <c r="E18" s="96">
        <v>0</v>
      </c>
      <c r="F18" s="96">
        <v>1</v>
      </c>
      <c r="G18" s="96">
        <v>0.43333333333333335</v>
      </c>
      <c r="H18" s="96">
        <v>1E+30</v>
      </c>
    </row>
    <row r="19" spans="2:8" x14ac:dyDescent="0.3">
      <c r="B19" s="96" t="s">
        <v>273</v>
      </c>
      <c r="C19" s="96" t="s">
        <v>262</v>
      </c>
      <c r="D19" s="96">
        <v>1.8666666666666667</v>
      </c>
      <c r="E19" s="96">
        <v>0</v>
      </c>
      <c r="F19" s="96">
        <v>1</v>
      </c>
      <c r="G19" s="96">
        <v>0.8666666666666667</v>
      </c>
      <c r="H19" s="96">
        <v>1E+30</v>
      </c>
    </row>
    <row r="20" spans="2:8" ht="15" thickBot="1" x14ac:dyDescent="0.35">
      <c r="B20" s="94" t="s">
        <v>274</v>
      </c>
      <c r="C20" s="94" t="s">
        <v>264</v>
      </c>
      <c r="D20" s="94">
        <v>1</v>
      </c>
      <c r="E20" s="94">
        <v>5.333333333333333E-2</v>
      </c>
      <c r="F20" s="94">
        <v>1</v>
      </c>
      <c r="G20" s="94">
        <v>1E+30</v>
      </c>
      <c r="H20" s="94">
        <v>0.56521739130434789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8CA6-ED3F-4AD6-A7A1-92A35446C076}">
  <dimension ref="A2:X296"/>
  <sheetViews>
    <sheetView tabSelected="1" topLeftCell="A129" zoomScale="85" zoomScaleNormal="85" workbookViewId="0">
      <selection activeCell="H157" sqref="H157"/>
    </sheetView>
  </sheetViews>
  <sheetFormatPr defaultRowHeight="14.4" x14ac:dyDescent="0.3"/>
  <cols>
    <col min="2" max="2" width="14.33203125" customWidth="1"/>
    <col min="3" max="3" width="15.44140625" customWidth="1"/>
    <col min="4" max="4" width="15.77734375" customWidth="1"/>
    <col min="5" max="5" width="15.109375" customWidth="1"/>
    <col min="6" max="6" width="14.77734375" customWidth="1"/>
    <col min="7" max="7" width="16.33203125" customWidth="1"/>
    <col min="8" max="8" width="13.6640625" customWidth="1"/>
    <col min="9" max="9" width="16.21875" customWidth="1"/>
    <col min="10" max="10" width="13.6640625" customWidth="1"/>
    <col min="11" max="11" width="11.44140625" customWidth="1"/>
    <col min="12" max="12" width="13.5546875" customWidth="1"/>
    <col min="13" max="13" width="11.44140625" customWidth="1"/>
    <col min="14" max="14" width="11.77734375" customWidth="1"/>
    <col min="15" max="15" width="10.77734375" customWidth="1"/>
    <col min="16" max="16" width="10.21875" customWidth="1"/>
    <col min="17" max="17" width="8.88671875" customWidth="1"/>
    <col min="22" max="22" width="16" customWidth="1"/>
    <col min="23" max="23" width="15.5546875" customWidth="1"/>
    <col min="24" max="24" width="20.109375" customWidth="1"/>
  </cols>
  <sheetData>
    <row r="2" spans="1:24" x14ac:dyDescent="0.3">
      <c r="N2" s="212"/>
      <c r="O2" s="212"/>
      <c r="P2" s="212"/>
      <c r="Q2" s="212"/>
      <c r="R2" s="212"/>
      <c r="S2" s="212"/>
      <c r="T2" s="212"/>
      <c r="U2" s="212"/>
      <c r="V2" s="212"/>
      <c r="W2" s="212"/>
    </row>
    <row r="3" spans="1:24" x14ac:dyDescent="0.3">
      <c r="B3" s="269" t="s">
        <v>0</v>
      </c>
      <c r="C3" s="270"/>
      <c r="D3" s="271"/>
      <c r="N3" s="212"/>
      <c r="O3" s="212"/>
      <c r="P3" s="212"/>
      <c r="Q3" s="212"/>
      <c r="R3" s="212"/>
      <c r="S3" s="212"/>
      <c r="T3" s="212"/>
      <c r="U3" s="212"/>
      <c r="V3" s="212"/>
      <c r="W3" s="212"/>
    </row>
    <row r="4" spans="1:24" x14ac:dyDescent="0.3">
      <c r="B4" s="272">
        <v>351004</v>
      </c>
      <c r="C4" s="264"/>
      <c r="D4" s="273"/>
      <c r="N4" s="212"/>
      <c r="O4" s="212"/>
      <c r="P4" s="212"/>
      <c r="Q4" s="212"/>
      <c r="R4" s="212"/>
      <c r="S4" s="212"/>
      <c r="T4" s="212"/>
      <c r="U4" s="212"/>
      <c r="V4" s="212"/>
      <c r="W4" s="212"/>
    </row>
    <row r="5" spans="1:24" x14ac:dyDescent="0.3">
      <c r="B5" s="274" t="s">
        <v>1</v>
      </c>
      <c r="C5" s="275"/>
      <c r="D5" s="276"/>
      <c r="N5" s="212"/>
      <c r="O5" s="212"/>
      <c r="P5" s="212"/>
      <c r="Q5" s="212"/>
      <c r="R5" s="212"/>
      <c r="S5" s="212"/>
      <c r="T5" s="212"/>
      <c r="U5" s="212"/>
      <c r="V5" s="212"/>
      <c r="W5" s="212"/>
    </row>
    <row r="6" spans="1:24" x14ac:dyDescent="0.3">
      <c r="I6" s="60"/>
      <c r="J6" s="60"/>
      <c r="K6" s="60"/>
      <c r="L6" s="60"/>
      <c r="M6" s="60"/>
      <c r="N6" s="212"/>
      <c r="O6" s="212"/>
      <c r="P6" s="212"/>
      <c r="Q6" s="212"/>
      <c r="R6" s="212"/>
      <c r="S6" s="212"/>
      <c r="T6" s="212"/>
      <c r="U6" s="212"/>
      <c r="V6" s="212"/>
      <c r="W6" s="212"/>
    </row>
    <row r="7" spans="1:24" x14ac:dyDescent="0.3">
      <c r="B7" s="278" t="s">
        <v>431</v>
      </c>
      <c r="C7" s="279"/>
      <c r="D7" s="279"/>
      <c r="E7" s="279"/>
      <c r="F7" s="279"/>
      <c r="G7" s="279"/>
      <c r="H7" s="280"/>
      <c r="I7" s="159"/>
      <c r="J7" s="159"/>
      <c r="K7" s="159"/>
      <c r="L7" s="159"/>
      <c r="M7" s="159"/>
      <c r="N7" s="212"/>
      <c r="O7" s="212"/>
      <c r="P7" s="212"/>
      <c r="Q7" s="212"/>
      <c r="R7" s="212"/>
      <c r="S7" s="212"/>
      <c r="T7" s="212"/>
      <c r="U7" s="212"/>
      <c r="V7" s="212"/>
      <c r="W7" s="212"/>
    </row>
    <row r="8" spans="1:24" ht="15" thickBot="1" x14ac:dyDescent="0.35">
      <c r="I8" s="60"/>
      <c r="J8" s="60"/>
      <c r="K8" s="60"/>
      <c r="L8" s="60"/>
      <c r="M8" s="60"/>
      <c r="N8" s="212"/>
      <c r="O8" s="212"/>
      <c r="P8" s="212"/>
      <c r="Q8" s="212"/>
      <c r="R8" s="212"/>
      <c r="S8" s="212"/>
      <c r="T8" s="212"/>
      <c r="U8" s="212"/>
      <c r="V8" s="212"/>
      <c r="W8" s="212"/>
    </row>
    <row r="9" spans="1:24" ht="23.4" customHeight="1" thickBot="1" x14ac:dyDescent="0.35">
      <c r="A9" s="130"/>
      <c r="B9" s="334" t="s">
        <v>432</v>
      </c>
      <c r="C9" s="335"/>
      <c r="D9" s="336"/>
      <c r="E9" s="336"/>
      <c r="F9" s="337"/>
      <c r="G9" s="228"/>
      <c r="H9" s="228"/>
      <c r="I9" s="228"/>
      <c r="J9" s="228"/>
      <c r="K9" s="228"/>
      <c r="L9" s="228"/>
      <c r="M9" s="228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130"/>
    </row>
    <row r="10" spans="1:24" x14ac:dyDescent="0.3">
      <c r="A10" s="130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130"/>
    </row>
    <row r="11" spans="1:24" x14ac:dyDescent="0.3">
      <c r="A11" s="130"/>
      <c r="B11" s="278" t="s">
        <v>440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80"/>
      <c r="S11" s="212"/>
      <c r="T11" s="212"/>
      <c r="U11" s="212"/>
      <c r="V11" s="212"/>
      <c r="W11" s="212"/>
      <c r="X11" s="130"/>
    </row>
    <row r="12" spans="1:24" ht="15" thickBot="1" x14ac:dyDescent="0.35">
      <c r="A12" s="130"/>
      <c r="S12" s="212"/>
      <c r="T12" s="212"/>
      <c r="U12" s="212"/>
      <c r="V12" s="212"/>
      <c r="W12" s="212"/>
      <c r="X12" s="130"/>
    </row>
    <row r="13" spans="1:24" x14ac:dyDescent="0.3">
      <c r="A13" s="130"/>
      <c r="B13" s="120" t="s">
        <v>433</v>
      </c>
      <c r="C13" s="338" t="s">
        <v>434</v>
      </c>
      <c r="D13" s="339" t="s">
        <v>435</v>
      </c>
      <c r="E13" s="340" t="s">
        <v>436</v>
      </c>
      <c r="F13" s="228"/>
      <c r="G13" s="228"/>
      <c r="H13" s="228"/>
      <c r="I13" s="228"/>
      <c r="J13" s="228"/>
      <c r="K13" s="228"/>
      <c r="L13" s="228"/>
      <c r="M13" s="228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130"/>
    </row>
    <row r="14" spans="1:24" ht="15" thickBot="1" x14ac:dyDescent="0.35">
      <c r="A14" s="130"/>
      <c r="B14" s="341">
        <v>0</v>
      </c>
      <c r="C14" s="342">
        <v>8</v>
      </c>
      <c r="D14" s="342">
        <v>0.1</v>
      </c>
      <c r="E14" s="343">
        <v>16</v>
      </c>
      <c r="F14" s="228"/>
      <c r="G14" s="228"/>
      <c r="H14" s="228"/>
      <c r="I14" s="228"/>
      <c r="J14" s="228"/>
      <c r="K14" s="228"/>
      <c r="L14" s="228"/>
      <c r="M14" s="228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130"/>
    </row>
    <row r="15" spans="1:24" ht="15" thickBot="1" x14ac:dyDescent="0.35">
      <c r="A15" s="130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130"/>
    </row>
    <row r="16" spans="1:24" x14ac:dyDescent="0.3">
      <c r="A16" s="130"/>
      <c r="B16" s="350" t="s">
        <v>439</v>
      </c>
      <c r="C16" s="351">
        <v>1</v>
      </c>
      <c r="D16" s="351">
        <v>2</v>
      </c>
      <c r="E16" s="351">
        <v>3</v>
      </c>
      <c r="F16" s="351">
        <v>4</v>
      </c>
      <c r="G16" s="351">
        <v>5</v>
      </c>
      <c r="H16" s="351">
        <v>6</v>
      </c>
      <c r="I16" s="351">
        <v>7</v>
      </c>
      <c r="J16" s="351">
        <v>8</v>
      </c>
      <c r="K16" s="351">
        <v>9</v>
      </c>
      <c r="L16" s="351">
        <v>10</v>
      </c>
      <c r="M16" s="351">
        <v>11</v>
      </c>
      <c r="N16" s="351">
        <v>12</v>
      </c>
      <c r="O16" s="351">
        <v>13</v>
      </c>
      <c r="P16" s="351">
        <v>14</v>
      </c>
      <c r="Q16" s="351">
        <v>15</v>
      </c>
      <c r="R16" s="352">
        <v>16</v>
      </c>
      <c r="S16" s="130"/>
      <c r="T16" s="130"/>
      <c r="U16" s="130"/>
      <c r="V16" s="130"/>
      <c r="W16" s="130"/>
      <c r="X16" s="130"/>
    </row>
    <row r="17" spans="1:24" x14ac:dyDescent="0.3">
      <c r="A17" s="130"/>
      <c r="B17" s="353" t="s">
        <v>437</v>
      </c>
      <c r="C17" s="349">
        <f>$B$14+($C$14-$B$14)/(($E$14/2)+1)*C16-($D$14/2)</f>
        <v>0.8388888888888888</v>
      </c>
      <c r="D17" s="349">
        <f>$B$14+($C$14-$B$14)/(($E$14/2)+1)*C16+($D$14/2)</f>
        <v>0.93888888888888888</v>
      </c>
      <c r="E17" s="349">
        <f>$B$14+($C$14-$B$14)/(($E$14/2)+1)*D16-($D$14/2)</f>
        <v>1.7277777777777776</v>
      </c>
      <c r="F17" s="349">
        <f>$B$14+($C$14-$B$14)/(($E$14/2)+1)*D16+($D$14/2)</f>
        <v>1.8277777777777777</v>
      </c>
      <c r="G17" s="349">
        <f>$B$14+($C$14-$B$14)/(($E$14/2)+1)*E16-($D$14/2)</f>
        <v>2.6166666666666667</v>
      </c>
      <c r="H17" s="349">
        <f>$B$14+($C$14-$B$14)/(($E$14/2)+1)*E16+($D$14/2)</f>
        <v>2.7166666666666663</v>
      </c>
      <c r="I17" s="349">
        <f>$B$14+($C$14-$B$14)/(($E$14/2)+1)*F16-($D$14/2)</f>
        <v>3.5055555555555555</v>
      </c>
      <c r="J17" s="349">
        <f>$B$14+($C$14-$B$14)/(($E$14/2)+1)*F16+($D$14/2)</f>
        <v>3.6055555555555552</v>
      </c>
      <c r="K17" s="349">
        <f>$B$14+($C$14-$B$14)/(($E$14/2)+1)*G16-($D$14/2)</f>
        <v>4.3944444444444448</v>
      </c>
      <c r="L17" s="349">
        <f>$B$14+($C$14-$B$14)/(($E$14/2)+1)*G16+($D$14/2)</f>
        <v>4.4944444444444445</v>
      </c>
      <c r="M17" s="349">
        <f>$B$14+($C$14-$B$14)/(($E$14/2)+1)*H16-($D$14/2)</f>
        <v>5.2833333333333332</v>
      </c>
      <c r="N17" s="349">
        <f>$B$14+($C$14-$B$14)/(($E$14/2)+1)*H16+($D$14/2)</f>
        <v>5.3833333333333329</v>
      </c>
      <c r="O17" s="349">
        <f>$B$14+($C$14-$B$14)/(($E$14/2)+1)*I16-($D$14/2)</f>
        <v>6.1722222222222216</v>
      </c>
      <c r="P17" s="349">
        <f>$B$14+($C$14-$B$14)/(($E$14/2)+1)*I16+($D$14/2)</f>
        <v>6.2722222222222213</v>
      </c>
      <c r="Q17" s="349">
        <f>$B$14+($C$14-$B$14)/(($E$14/2)+1)*J16-($D$14/2)</f>
        <v>7.0611111111111109</v>
      </c>
      <c r="R17" s="354">
        <f>$B$14+($C$14-$B$14)/(($E$14/2)+1)*J16+($D$14/2)</f>
        <v>7.1611111111111105</v>
      </c>
      <c r="S17" s="133"/>
      <c r="T17" s="211"/>
      <c r="U17" s="130"/>
      <c r="V17" s="130"/>
      <c r="W17" s="130"/>
      <c r="X17" s="130"/>
    </row>
    <row r="18" spans="1:24" ht="15" thickBot="1" x14ac:dyDescent="0.35">
      <c r="A18" s="130"/>
      <c r="B18" s="355" t="s">
        <v>438</v>
      </c>
      <c r="C18" s="356">
        <f>C17*C17-13*C17+12</f>
        <v>1.7981790123456793</v>
      </c>
      <c r="D18" s="356">
        <f t="shared" ref="D18:R18" si="0">D17*D17-13*D17+12</f>
        <v>0.67595679012345755</v>
      </c>
      <c r="E18" s="356">
        <f t="shared" si="0"/>
        <v>-7.4758950617283944</v>
      </c>
      <c r="F18" s="356">
        <f t="shared" si="0"/>
        <v>-8.4203395061728372</v>
      </c>
      <c r="G18" s="356">
        <f t="shared" si="0"/>
        <v>-15.169722222222219</v>
      </c>
      <c r="H18" s="356">
        <f t="shared" si="0"/>
        <v>-15.936388888888885</v>
      </c>
      <c r="I18" s="356">
        <f t="shared" si="0"/>
        <v>-21.283302469135805</v>
      </c>
      <c r="J18" s="356">
        <f t="shared" si="0"/>
        <v>-21.872191358024693</v>
      </c>
      <c r="K18" s="356">
        <f t="shared" si="0"/>
        <v>-25.816635802469136</v>
      </c>
      <c r="L18" s="356">
        <f t="shared" si="0"/>
        <v>-26.227746913580248</v>
      </c>
      <c r="M18" s="356">
        <f t="shared" si="0"/>
        <v>-28.769722222222228</v>
      </c>
      <c r="N18" s="356">
        <f t="shared" si="0"/>
        <v>-29.003055555555548</v>
      </c>
      <c r="O18" s="356">
        <f t="shared" si="0"/>
        <v>-30.142561728395059</v>
      </c>
      <c r="P18" s="358">
        <f t="shared" si="0"/>
        <v>-30.198117283950616</v>
      </c>
      <c r="Q18" s="356">
        <f t="shared" si="0"/>
        <v>-29.93515432098765</v>
      </c>
      <c r="R18" s="357">
        <f t="shared" si="0"/>
        <v>-29.81293209876543</v>
      </c>
      <c r="S18" s="130"/>
      <c r="T18" s="130"/>
      <c r="U18" s="130"/>
      <c r="V18" s="130"/>
      <c r="W18" s="130"/>
      <c r="X18" s="130"/>
    </row>
    <row r="19" spans="1:24" x14ac:dyDescent="0.3">
      <c r="A19" s="130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130"/>
      <c r="O19" s="277"/>
      <c r="P19" s="277"/>
      <c r="Q19" s="277"/>
      <c r="R19" s="277"/>
      <c r="S19" s="277"/>
      <c r="T19" s="277"/>
      <c r="U19" s="277"/>
      <c r="V19" s="277"/>
      <c r="W19" s="277"/>
      <c r="X19" s="277"/>
    </row>
    <row r="20" spans="1:24" x14ac:dyDescent="0.3">
      <c r="A20" s="130"/>
      <c r="B20" s="278" t="s">
        <v>441</v>
      </c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80"/>
      <c r="S20" s="130"/>
      <c r="T20" s="130"/>
      <c r="U20" s="130"/>
      <c r="V20" s="130"/>
      <c r="W20" s="130"/>
      <c r="X20" s="130"/>
    </row>
    <row r="21" spans="1:24" ht="15" thickBot="1" x14ac:dyDescent="0.35">
      <c r="A21" s="130"/>
      <c r="S21" s="130"/>
      <c r="T21" s="130"/>
      <c r="U21" s="133"/>
      <c r="V21" s="133"/>
      <c r="W21" s="130"/>
      <c r="X21" s="133"/>
    </row>
    <row r="22" spans="1:24" x14ac:dyDescent="0.3">
      <c r="A22" s="130"/>
      <c r="B22" s="120" t="s">
        <v>433</v>
      </c>
      <c r="C22" s="338" t="s">
        <v>434</v>
      </c>
      <c r="D22" s="339" t="s">
        <v>435</v>
      </c>
      <c r="E22" s="340" t="s">
        <v>436</v>
      </c>
      <c r="F22" s="228"/>
      <c r="G22" s="228"/>
      <c r="H22" s="228"/>
      <c r="I22" s="228"/>
      <c r="J22" s="228"/>
      <c r="K22" s="228"/>
      <c r="L22" s="228"/>
      <c r="M22" s="228"/>
      <c r="N22" s="212"/>
      <c r="O22" s="212"/>
      <c r="P22" s="212"/>
      <c r="Q22" s="212"/>
      <c r="R22" s="212"/>
      <c r="S22" s="130"/>
      <c r="T22" s="130"/>
      <c r="U22" s="130"/>
      <c r="V22" s="130"/>
      <c r="W22" s="130"/>
      <c r="X22" s="130"/>
    </row>
    <row r="23" spans="1:24" ht="15" thickBot="1" x14ac:dyDescent="0.35">
      <c r="A23" s="130"/>
      <c r="B23" s="341">
        <v>6.1722222222222216</v>
      </c>
      <c r="C23" s="342">
        <v>7.0611111111111109</v>
      </c>
      <c r="D23" s="342">
        <v>0.1</v>
      </c>
      <c r="E23" s="343">
        <v>16</v>
      </c>
      <c r="F23" s="228"/>
      <c r="G23" s="228"/>
      <c r="H23" s="228"/>
      <c r="I23" s="228"/>
      <c r="J23" s="228"/>
      <c r="K23" s="228"/>
      <c r="L23" s="228"/>
      <c r="M23" s="228"/>
      <c r="N23" s="212"/>
      <c r="O23" s="212"/>
      <c r="P23" s="212"/>
      <c r="Q23" s="212"/>
      <c r="R23" s="212"/>
      <c r="S23" s="130"/>
      <c r="T23" s="130"/>
      <c r="U23" s="130"/>
      <c r="V23" s="130"/>
      <c r="W23" s="130"/>
      <c r="X23" s="130"/>
    </row>
    <row r="24" spans="1:24" ht="15" thickBot="1" x14ac:dyDescent="0.35">
      <c r="A24" s="130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12"/>
      <c r="O24" s="212"/>
      <c r="P24" s="212"/>
      <c r="Q24" s="212"/>
      <c r="R24" s="212"/>
      <c r="S24" s="130"/>
      <c r="T24" s="130"/>
      <c r="U24" s="130"/>
      <c r="V24" s="130"/>
      <c r="W24" s="130"/>
      <c r="X24" s="130"/>
    </row>
    <row r="25" spans="1:24" x14ac:dyDescent="0.3">
      <c r="A25" s="130"/>
      <c r="B25" s="350" t="s">
        <v>439</v>
      </c>
      <c r="C25" s="351">
        <v>1</v>
      </c>
      <c r="D25" s="351">
        <v>2</v>
      </c>
      <c r="E25" s="351">
        <v>3</v>
      </c>
      <c r="F25" s="351">
        <v>4</v>
      </c>
      <c r="G25" s="351">
        <v>5</v>
      </c>
      <c r="H25" s="351">
        <v>6</v>
      </c>
      <c r="I25" s="351">
        <v>7</v>
      </c>
      <c r="J25" s="351">
        <v>8</v>
      </c>
      <c r="K25" s="351">
        <v>9</v>
      </c>
      <c r="L25" s="351">
        <v>10</v>
      </c>
      <c r="M25" s="351">
        <v>11</v>
      </c>
      <c r="N25" s="351">
        <v>12</v>
      </c>
      <c r="O25" s="351">
        <v>13</v>
      </c>
      <c r="P25" s="351">
        <v>14</v>
      </c>
      <c r="Q25" s="351">
        <v>15</v>
      </c>
      <c r="R25" s="352">
        <v>16</v>
      </c>
      <c r="S25" s="130"/>
      <c r="T25" s="130"/>
      <c r="U25" s="130"/>
      <c r="V25" s="130"/>
      <c r="W25" s="130"/>
      <c r="X25" s="130"/>
    </row>
    <row r="26" spans="1:24" x14ac:dyDescent="0.3">
      <c r="A26" s="130"/>
      <c r="B26" s="353" t="s">
        <v>437</v>
      </c>
      <c r="C26" s="349">
        <f>$B$23+($C$23-$B$23)/(($E$23/2)+1)*C25-($D$23/2)</f>
        <v>6.2209876543209877</v>
      </c>
      <c r="D26" s="349">
        <f>$B$23+($C$23-$B$23)/(($E$23/2)+1)*C25+($D$23/2)</f>
        <v>6.3209876543209873</v>
      </c>
      <c r="E26" s="349">
        <f>$B$23+($C$23-$B$23)/(($E$23/2)+1)*D25-($D$23/2)</f>
        <v>6.3197530864197526</v>
      </c>
      <c r="F26" s="349">
        <f>$B$23+($C$23-$B$23)/(($E$23/2)+1)*D25+($D$23/2)</f>
        <v>6.4197530864197523</v>
      </c>
      <c r="G26" s="349">
        <f>$B$23+($C$23-$B$23)/(($E$23/2)+1)*E25-($D$23/2)</f>
        <v>6.4185185185185185</v>
      </c>
      <c r="H26" s="349">
        <f>$B$23+($C$23-$B$23)/(($E$23/2)+1)*E25+($D$23/2)</f>
        <v>6.5185185185185182</v>
      </c>
      <c r="I26" s="349">
        <f>$B$23+($C$23-$B$23)/(($E$23/2)+1)*F25-($D$23/2)</f>
        <v>6.5172839506172835</v>
      </c>
      <c r="J26" s="349">
        <f>$B$23+($C$23-$B$23)/(($E$23/2)+1)*F25+($D$23/2)</f>
        <v>6.6172839506172831</v>
      </c>
      <c r="K26" s="349">
        <f>$B$23+($C$23-$B$23)/(($E$23/2)+1)*G25-($D$23/2)</f>
        <v>6.6160493827160494</v>
      </c>
      <c r="L26" s="349">
        <f>$B$23+($C$23-$B$23)/(($E$23/2)+1)*G25+($D$23/2)</f>
        <v>6.716049382716049</v>
      </c>
      <c r="M26" s="349">
        <f>$B$23+($C$23-$B$23)/(($E$23/2)+1)*H25-($D$23/2)</f>
        <v>6.7148148148148143</v>
      </c>
      <c r="N26" s="349">
        <f>$B$23+($C$23-$B$23)/(($E$23/2)+1)*H25+($D$23/2)</f>
        <v>6.814814814814814</v>
      </c>
      <c r="O26" s="349">
        <f>$B$23+($C$23-$B$23)/(($E$23/2)+1)*I25-($D$23/2)</f>
        <v>6.8135802469135802</v>
      </c>
      <c r="P26" s="349">
        <f>$B$23+($C$23-$B$23)/(($E$23/2)+1)*I25+($D$23/2)</f>
        <v>6.9135802469135799</v>
      </c>
      <c r="Q26" s="349">
        <f>$B$23+($C$23-$B$23)/(($E$23/2)+1)*J25-($D$23/2)</f>
        <v>6.9123456790123461</v>
      </c>
      <c r="R26" s="349">
        <f>$B$23+($C$23-$B$23)/(($E$23/2)+1)*J25+($D$23/2)</f>
        <v>7.0123456790123457</v>
      </c>
      <c r="S26" s="130"/>
      <c r="T26" s="130"/>
      <c r="U26" s="130"/>
      <c r="V26" s="130"/>
      <c r="W26" s="130"/>
      <c r="X26" s="130"/>
    </row>
    <row r="27" spans="1:24" ht="15" thickBot="1" x14ac:dyDescent="0.35">
      <c r="A27" s="130"/>
      <c r="B27" s="355" t="s">
        <v>438</v>
      </c>
      <c r="C27" s="356">
        <f>C26*C26-13*C26+12</f>
        <v>-30.172152110958692</v>
      </c>
      <c r="D27" s="356">
        <f t="shared" ref="D27" si="1">D26*D26-13*D26+12</f>
        <v>-30.217954580094499</v>
      </c>
      <c r="E27" s="356">
        <f t="shared" ref="E27" si="2">E26*E26-13*E26+12</f>
        <v>-30.2175110501448</v>
      </c>
      <c r="F27" s="356">
        <f t="shared" ref="F27" si="3">F26*F26-13*F26+12</f>
        <v>-30.243560432860846</v>
      </c>
      <c r="G27" s="356">
        <f t="shared" ref="G27" si="4">G26*G26-13*G26+12</f>
        <v>-30.243360768175577</v>
      </c>
      <c r="H27" s="356">
        <f t="shared" ref="H27" si="5">H26*H26-13*H26+12</f>
        <v>-30.249657064471876</v>
      </c>
      <c r="I27" s="358">
        <f t="shared" ref="I27" si="6">I26*I26-13*I26+12</f>
        <v>-30.249701265051058</v>
      </c>
      <c r="J27" s="356">
        <f t="shared" ref="J27" si="7">J26*J26-13*J26+12</f>
        <v>-30.236244474927602</v>
      </c>
      <c r="K27" s="356">
        <f t="shared" ref="K27" si="8">K26*K26-13*K26+12</f>
        <v>-30.236532540771229</v>
      </c>
      <c r="L27" s="356">
        <f t="shared" ref="L27" si="9">L26*L26-13*L26+12</f>
        <v>-30.203322664228011</v>
      </c>
      <c r="M27" s="356">
        <f t="shared" ref="M27" si="10">M26*M26-13*M26+12</f>
        <v>-30.203854595336075</v>
      </c>
      <c r="N27" s="356">
        <f t="shared" ref="N27" si="11">N26*N26-13*N26+12</f>
        <v>-30.15089163237311</v>
      </c>
      <c r="O27" s="356">
        <f t="shared" ref="O27" si="12">O26*O26-13*O26+12</f>
        <v>-30.151667428745625</v>
      </c>
      <c r="P27" s="356">
        <f t="shared" ref="P27" si="13">P26*P26-13*P26+12</f>
        <v>-30.078951379362906</v>
      </c>
      <c r="Q27" s="356">
        <f t="shared" ref="Q27" si="14">Q26*Q26-13*Q26+12</f>
        <v>-30.079971040999844</v>
      </c>
      <c r="R27" s="357">
        <f t="shared" ref="R27" si="15">R26*R26-13*R26+12</f>
        <v>-29.987501905197377</v>
      </c>
      <c r="S27" s="130"/>
      <c r="T27" s="130"/>
      <c r="U27" s="133"/>
      <c r="V27" s="130"/>
      <c r="W27" s="130"/>
      <c r="X27" s="133"/>
    </row>
    <row r="28" spans="1:24" ht="15" thickBot="1" x14ac:dyDescent="0.35">
      <c r="A28" s="130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130"/>
      <c r="O28" s="133"/>
      <c r="P28" s="130"/>
      <c r="Q28" s="130"/>
      <c r="R28" s="130"/>
      <c r="S28" s="130"/>
      <c r="T28" s="130"/>
      <c r="U28" s="203"/>
      <c r="V28" s="130"/>
      <c r="W28" s="130"/>
      <c r="X28" s="130"/>
    </row>
    <row r="29" spans="1:24" x14ac:dyDescent="0.3">
      <c r="A29" s="130"/>
      <c r="B29" s="359" t="s">
        <v>442</v>
      </c>
      <c r="C29" s="360">
        <f>MIN(C27:R27)</f>
        <v>-30.249701265051058</v>
      </c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130"/>
      <c r="O29" s="133"/>
      <c r="P29" s="130"/>
      <c r="Q29" s="130"/>
      <c r="R29" s="130"/>
      <c r="S29" s="130"/>
      <c r="T29" s="130"/>
      <c r="U29" s="203"/>
      <c r="V29" s="130"/>
      <c r="W29" s="130"/>
      <c r="X29" s="130"/>
    </row>
    <row r="30" spans="1:24" x14ac:dyDescent="0.3">
      <c r="A30" s="130"/>
      <c r="B30" s="361" t="s">
        <v>439</v>
      </c>
      <c r="C30" s="362">
        <v>7</v>
      </c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130"/>
      <c r="O30" s="130"/>
      <c r="P30" s="130"/>
      <c r="Q30" s="130"/>
      <c r="R30" s="130"/>
      <c r="S30" s="130"/>
      <c r="T30" s="130"/>
      <c r="U30" s="203"/>
      <c r="V30" s="130"/>
      <c r="W30" s="130"/>
      <c r="X30" s="130"/>
    </row>
    <row r="31" spans="1:24" ht="15" thickBot="1" x14ac:dyDescent="0.35">
      <c r="A31" s="130"/>
      <c r="B31" s="363" t="s">
        <v>443</v>
      </c>
      <c r="C31" s="364">
        <f>J26-H26</f>
        <v>9.8765432098764983E-2</v>
      </c>
      <c r="D31" s="228"/>
      <c r="E31" s="228"/>
      <c r="F31" s="228"/>
      <c r="G31" s="228"/>
      <c r="H31" s="228"/>
      <c r="I31" s="228"/>
      <c r="J31" s="228"/>
      <c r="K31" s="228"/>
      <c r="L31" s="228"/>
      <c r="M31" s="228"/>
      <c r="N31" s="130"/>
      <c r="O31" s="130"/>
      <c r="P31" s="130"/>
      <c r="Q31" s="130"/>
      <c r="R31" s="130"/>
      <c r="S31" s="130"/>
      <c r="T31" s="130"/>
      <c r="U31" s="203"/>
      <c r="V31" s="130"/>
      <c r="W31" s="130"/>
      <c r="X31" s="130"/>
    </row>
    <row r="32" spans="1:24" x14ac:dyDescent="0.3">
      <c r="A32" s="130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</row>
    <row r="33" spans="1:24" x14ac:dyDescent="0.3">
      <c r="A33" s="130"/>
      <c r="T33" s="133"/>
      <c r="U33" s="130"/>
      <c r="V33" s="130"/>
      <c r="W33" s="130"/>
      <c r="X33" s="130"/>
    </row>
    <row r="34" spans="1:24" x14ac:dyDescent="0.3">
      <c r="A34" s="130"/>
      <c r="T34" s="130"/>
      <c r="U34" s="130"/>
      <c r="V34" s="130"/>
      <c r="W34" s="130"/>
      <c r="X34" s="130"/>
    </row>
    <row r="35" spans="1:24" x14ac:dyDescent="0.3">
      <c r="A35" s="130"/>
      <c r="B35" s="330" t="s">
        <v>447</v>
      </c>
      <c r="C35" s="330"/>
      <c r="D35" s="330"/>
      <c r="E35" s="330"/>
      <c r="F35" s="330"/>
      <c r="G35" s="228"/>
      <c r="H35" s="227" t="s">
        <v>446</v>
      </c>
      <c r="I35" s="132"/>
      <c r="J35" s="227" t="s">
        <v>445</v>
      </c>
      <c r="K35" s="132"/>
      <c r="L35" s="227" t="s">
        <v>436</v>
      </c>
      <c r="M35" s="228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</row>
    <row r="36" spans="1:24" x14ac:dyDescent="0.3">
      <c r="A36" s="130"/>
      <c r="H36" s="365">
        <v>0</v>
      </c>
      <c r="I36" s="1"/>
      <c r="J36" s="365">
        <v>8</v>
      </c>
      <c r="K36" s="1"/>
      <c r="L36" s="365">
        <v>17</v>
      </c>
      <c r="T36" s="130"/>
      <c r="U36" s="130"/>
      <c r="V36" s="130"/>
      <c r="W36" s="130"/>
      <c r="X36" s="130"/>
    </row>
    <row r="37" spans="1:24" x14ac:dyDescent="0.3">
      <c r="A37" s="130"/>
      <c r="T37" s="130"/>
      <c r="U37" s="130"/>
      <c r="V37" s="130"/>
      <c r="W37" s="130"/>
      <c r="X37" s="130"/>
    </row>
    <row r="38" spans="1:24" x14ac:dyDescent="0.3">
      <c r="A38" s="130"/>
      <c r="T38" s="130"/>
      <c r="U38" s="130"/>
      <c r="V38" s="130"/>
      <c r="W38" s="130"/>
      <c r="X38" s="130"/>
    </row>
    <row r="39" spans="1:24" x14ac:dyDescent="0.3">
      <c r="A39" s="130"/>
      <c r="T39" s="130"/>
      <c r="U39" s="130"/>
      <c r="V39" s="130"/>
      <c r="W39" s="130"/>
      <c r="X39" s="130"/>
    </row>
    <row r="40" spans="1:24" x14ac:dyDescent="0.3">
      <c r="A40" s="130"/>
      <c r="B40" s="345" t="s">
        <v>444</v>
      </c>
      <c r="C40" s="344">
        <v>1</v>
      </c>
      <c r="D40" s="344">
        <v>2</v>
      </c>
      <c r="E40" s="344">
        <v>3</v>
      </c>
      <c r="F40" s="344">
        <v>4</v>
      </c>
      <c r="G40" s="344">
        <v>5</v>
      </c>
      <c r="H40" s="344">
        <v>6</v>
      </c>
      <c r="I40" s="344">
        <v>7</v>
      </c>
      <c r="J40" s="344">
        <v>8</v>
      </c>
      <c r="K40" s="344">
        <v>9</v>
      </c>
      <c r="L40" s="344">
        <v>10</v>
      </c>
      <c r="M40" s="344">
        <v>11</v>
      </c>
      <c r="N40" s="344">
        <v>12</v>
      </c>
      <c r="O40" s="344">
        <v>13</v>
      </c>
      <c r="P40" s="344">
        <v>14</v>
      </c>
      <c r="Q40" s="344">
        <v>15</v>
      </c>
      <c r="R40" s="344">
        <v>16</v>
      </c>
      <c r="S40" s="344">
        <v>17</v>
      </c>
      <c r="T40" s="130"/>
      <c r="U40" s="130"/>
      <c r="V40" s="130"/>
      <c r="W40" s="130"/>
      <c r="X40" s="130"/>
    </row>
    <row r="41" spans="1:24" x14ac:dyDescent="0.3">
      <c r="A41" s="130"/>
      <c r="B41" s="345" t="s">
        <v>437</v>
      </c>
      <c r="C41" s="349">
        <f>H36+((J36-H36)/(L36+1))*C40</f>
        <v>0.44444444444444442</v>
      </c>
      <c r="D41" s="349">
        <f>H36+((J36-H36)/(L36+1))*D40</f>
        <v>0.88888888888888884</v>
      </c>
      <c r="E41" s="349">
        <f>H36+((J36-H36)/(L36+1))*E40</f>
        <v>1.3333333333333333</v>
      </c>
      <c r="F41" s="349">
        <f>H36+((J36-H36)/(L36+1))*F40</f>
        <v>1.7777777777777777</v>
      </c>
      <c r="G41" s="349">
        <f>H36+((J36-H36)/(L36+1))*G40</f>
        <v>2.2222222222222223</v>
      </c>
      <c r="H41" s="349">
        <f>H36+((J36-H36)/(L36+1))*H40</f>
        <v>2.6666666666666665</v>
      </c>
      <c r="I41" s="349">
        <f>H36+((J36-H36)/(L36+1))*I40</f>
        <v>3.1111111111111107</v>
      </c>
      <c r="J41" s="349">
        <f>H36+((J36-H36)/(L36+1))*J40</f>
        <v>3.5555555555555554</v>
      </c>
      <c r="K41" s="349">
        <f>H36+((J36-H36)/(L36+1))*K40</f>
        <v>4</v>
      </c>
      <c r="L41" s="349">
        <f>H36+((J36-H36)/(L36+1))*L40</f>
        <v>4.4444444444444446</v>
      </c>
      <c r="M41" s="349">
        <f>H36+((J36-H36)/(L36+1))*M40</f>
        <v>4.8888888888888884</v>
      </c>
      <c r="N41" s="349">
        <f>H36+((J36-H36)/(L36+1))*N40</f>
        <v>5.333333333333333</v>
      </c>
      <c r="O41" s="349">
        <f>H36+((J36-H36)/(L36+1))*O40</f>
        <v>5.7777777777777777</v>
      </c>
      <c r="P41" s="349">
        <f>H36+((J36-H36)/(L36+1))*P40</f>
        <v>6.2222222222222214</v>
      </c>
      <c r="Q41" s="349">
        <f>H36+((J36-H36)/(L36+1))*Q40</f>
        <v>6.6666666666666661</v>
      </c>
      <c r="R41" s="349">
        <f>H36+((J36-H36)/(L36+1))*R40</f>
        <v>7.1111111111111107</v>
      </c>
      <c r="S41" s="349">
        <f>H36+((J36-H36)/(L36+1))*S40</f>
        <v>7.5555555555555554</v>
      </c>
      <c r="T41" s="130"/>
      <c r="U41" s="130"/>
      <c r="V41" s="130"/>
      <c r="W41" s="130"/>
      <c r="X41" s="130"/>
    </row>
    <row r="42" spans="1:24" x14ac:dyDescent="0.3">
      <c r="A42" s="130"/>
      <c r="B42" s="345" t="s">
        <v>438</v>
      </c>
      <c r="C42" s="349">
        <f>C41*C41-13*C41+12</f>
        <v>6.4197530864197532</v>
      </c>
      <c r="D42" s="349">
        <f t="shared" ref="D42:S42" si="16">D41*D41-13*D41+12</f>
        <v>1.2345679012345681</v>
      </c>
      <c r="E42" s="349">
        <f t="shared" si="16"/>
        <v>-3.5555555555555536</v>
      </c>
      <c r="F42" s="349">
        <f t="shared" si="16"/>
        <v>-7.9506172839506171</v>
      </c>
      <c r="G42" s="349">
        <f t="shared" si="16"/>
        <v>-11.950617283950617</v>
      </c>
      <c r="H42" s="349">
        <f t="shared" si="16"/>
        <v>-15.555555555555554</v>
      </c>
      <c r="I42" s="349">
        <f t="shared" si="16"/>
        <v>-18.765432098765434</v>
      </c>
      <c r="J42" s="349">
        <f t="shared" si="16"/>
        <v>-21.580246913580247</v>
      </c>
      <c r="K42" s="349">
        <f t="shared" si="16"/>
        <v>-24</v>
      </c>
      <c r="L42" s="349">
        <f t="shared" si="16"/>
        <v>-26.02469135802469</v>
      </c>
      <c r="M42" s="349">
        <f t="shared" si="16"/>
        <v>-27.654320987654316</v>
      </c>
      <c r="N42" s="349">
        <f t="shared" si="16"/>
        <v>-28.888888888888886</v>
      </c>
      <c r="O42" s="349">
        <f t="shared" si="16"/>
        <v>-29.728395061728399</v>
      </c>
      <c r="P42" s="349">
        <f t="shared" si="16"/>
        <v>-30.172839506172849</v>
      </c>
      <c r="Q42" s="345">
        <f t="shared" si="16"/>
        <v>-30.222222222222221</v>
      </c>
      <c r="R42" s="349">
        <f t="shared" si="16"/>
        <v>-29.876543209876544</v>
      </c>
      <c r="S42" s="349">
        <f t="shared" si="16"/>
        <v>-29.135802469135797</v>
      </c>
      <c r="T42" s="130"/>
      <c r="U42" s="130"/>
      <c r="V42" s="130"/>
      <c r="W42" s="130"/>
      <c r="X42" s="130"/>
    </row>
    <row r="43" spans="1:24" ht="15" thickBot="1" x14ac:dyDescent="0.35">
      <c r="A43" s="130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</row>
    <row r="44" spans="1:24" ht="15" thickBot="1" x14ac:dyDescent="0.35">
      <c r="A44" s="130"/>
      <c r="B44" s="366" t="s">
        <v>443</v>
      </c>
      <c r="C44" s="367">
        <f>R41-P41</f>
        <v>0.88888888888888928</v>
      </c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</row>
    <row r="45" spans="1:24" x14ac:dyDescent="0.3">
      <c r="A45" s="130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</row>
    <row r="46" spans="1:24" x14ac:dyDescent="0.3">
      <c r="A46" s="130"/>
      <c r="B46" s="278" t="s">
        <v>441</v>
      </c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80"/>
      <c r="S46" s="130"/>
      <c r="T46" s="130"/>
      <c r="U46" s="130"/>
      <c r="V46" s="130"/>
      <c r="W46" s="130"/>
      <c r="X46" s="130"/>
    </row>
    <row r="47" spans="1:24" x14ac:dyDescent="0.3">
      <c r="A47" s="130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</row>
    <row r="48" spans="1:24" x14ac:dyDescent="0.3">
      <c r="A48" s="130"/>
      <c r="B48" s="228"/>
      <c r="C48" s="228"/>
      <c r="D48" s="228"/>
      <c r="E48" s="228"/>
      <c r="F48" s="228"/>
      <c r="G48" s="228"/>
      <c r="H48" s="227" t="s">
        <v>446</v>
      </c>
      <c r="I48" s="132"/>
      <c r="J48" s="227" t="s">
        <v>445</v>
      </c>
      <c r="K48" s="132"/>
      <c r="L48" s="227" t="s">
        <v>436</v>
      </c>
      <c r="M48" s="228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</row>
    <row r="49" spans="1:24" x14ac:dyDescent="0.3">
      <c r="A49" s="130"/>
      <c r="H49" s="365">
        <v>6.2222222222222214</v>
      </c>
      <c r="I49" s="1"/>
      <c r="J49" s="365">
        <v>7.1111111111111107</v>
      </c>
      <c r="K49" s="1"/>
      <c r="L49" s="365">
        <v>17</v>
      </c>
      <c r="T49" s="130"/>
      <c r="U49" s="130"/>
      <c r="V49" s="130"/>
      <c r="W49" s="130"/>
      <c r="X49" s="130"/>
    </row>
    <row r="50" spans="1:24" x14ac:dyDescent="0.3">
      <c r="A50" s="130"/>
      <c r="T50" s="130"/>
      <c r="U50" s="130"/>
      <c r="V50" s="130"/>
      <c r="W50" s="130"/>
      <c r="X50" s="130"/>
    </row>
    <row r="51" spans="1:24" x14ac:dyDescent="0.3">
      <c r="A51" s="130"/>
      <c r="B51" s="345" t="s">
        <v>444</v>
      </c>
      <c r="C51" s="344">
        <v>1</v>
      </c>
      <c r="D51" s="344">
        <v>2</v>
      </c>
      <c r="E51" s="344">
        <v>3</v>
      </c>
      <c r="F51" s="344">
        <v>4</v>
      </c>
      <c r="G51" s="344">
        <v>5</v>
      </c>
      <c r="H51" s="344">
        <v>6</v>
      </c>
      <c r="I51" s="344">
        <v>7</v>
      </c>
      <c r="J51" s="344">
        <v>8</v>
      </c>
      <c r="K51" s="344">
        <v>9</v>
      </c>
      <c r="L51" s="344">
        <v>10</v>
      </c>
      <c r="M51" s="344">
        <v>11</v>
      </c>
      <c r="N51" s="344">
        <v>12</v>
      </c>
      <c r="O51" s="344">
        <v>13</v>
      </c>
      <c r="P51" s="344">
        <v>14</v>
      </c>
      <c r="Q51" s="344">
        <v>15</v>
      </c>
      <c r="R51" s="344">
        <v>16</v>
      </c>
      <c r="S51" s="344">
        <v>17</v>
      </c>
      <c r="T51" s="130"/>
      <c r="U51" s="130"/>
      <c r="V51" s="130"/>
      <c r="W51" s="130"/>
      <c r="X51" s="130"/>
    </row>
    <row r="52" spans="1:24" x14ac:dyDescent="0.3">
      <c r="A52" s="130"/>
      <c r="B52" s="345" t="s">
        <v>437</v>
      </c>
      <c r="C52" s="349">
        <f>H49+((J49-H49)/(L49+1))*C51</f>
        <v>6.2716049382716044</v>
      </c>
      <c r="D52" s="349">
        <f>H49+((J49-H49)/(L49+1))*D51</f>
        <v>6.3209876543209873</v>
      </c>
      <c r="E52" s="349">
        <f>H49+((J49-H49)/(L49+1))*E51</f>
        <v>6.3703703703703694</v>
      </c>
      <c r="F52" s="349">
        <f>H49+((J49-H49)/(L49+1))*F51</f>
        <v>6.4197530864197523</v>
      </c>
      <c r="G52" s="349">
        <f>H49+((J49-H49)/(L49+1))*G51</f>
        <v>6.4691358024691352</v>
      </c>
      <c r="H52" s="349">
        <f>H49+((J49-H49)/(L49+1))*H51</f>
        <v>6.5185185185185182</v>
      </c>
      <c r="I52" s="349">
        <f>H49+((J49-H49)/(L49+1))*I51</f>
        <v>6.5679012345679002</v>
      </c>
      <c r="J52" s="349">
        <f>H49+((J49-H49)/(L49+1))*J51</f>
        <v>6.6172839506172831</v>
      </c>
      <c r="K52" s="349">
        <f>H49+((J49-H49)/(L49+1))*K51</f>
        <v>6.6666666666666661</v>
      </c>
      <c r="L52" s="349">
        <f>H49+((J49-H49)/(L49+1))*L51</f>
        <v>6.716049382716049</v>
      </c>
      <c r="M52" s="349">
        <f>H49+((J49-H49)/(L49+1))*M51</f>
        <v>6.7654320987654319</v>
      </c>
      <c r="N52" s="349">
        <f>H49+((J49-H49)/(L49+1))*N51</f>
        <v>6.814814814814814</v>
      </c>
      <c r="O52" s="349">
        <f>H49+((J49-H49)/(L49+1))*O51</f>
        <v>6.8641975308641969</v>
      </c>
      <c r="P52" s="349">
        <f>H49+((J49-H49)/(L49+1))*P51</f>
        <v>6.9135802469135799</v>
      </c>
      <c r="Q52" s="349">
        <f>H49+((J49-H49)/(L49+1))*Q51</f>
        <v>6.9629629629629628</v>
      </c>
      <c r="R52" s="349">
        <f>H49+((J49-H49)/(L49+1))*R51</f>
        <v>7.0123456790123448</v>
      </c>
      <c r="S52" s="349">
        <f>H49+((J49-H49)/(L49+1))*S51</f>
        <v>7.0617283950617278</v>
      </c>
      <c r="T52" s="130"/>
      <c r="U52" s="130"/>
      <c r="V52" s="130"/>
      <c r="W52" s="130"/>
      <c r="X52" s="130"/>
    </row>
    <row r="53" spans="1:24" x14ac:dyDescent="0.3">
      <c r="A53" s="130"/>
      <c r="B53" s="345" t="s">
        <v>438</v>
      </c>
      <c r="C53" s="349">
        <f>C52*C52-13*C52+12</f>
        <v>-30.197835695778089</v>
      </c>
      <c r="D53" s="349">
        <f t="shared" ref="D53" si="17">D52*D52-13*D52+12</f>
        <v>-30.217954580094499</v>
      </c>
      <c r="E53" s="349">
        <f t="shared" ref="E53" si="18">E52*E52-13*E52+12</f>
        <v>-30.23319615912208</v>
      </c>
      <c r="F53" s="349">
        <f t="shared" ref="F53" si="19">F52*F52-13*F52+12</f>
        <v>-30.243560432860846</v>
      </c>
      <c r="G53" s="349">
        <f t="shared" ref="G53" si="20">G52*G52-13*G52+12</f>
        <v>-30.249047401310776</v>
      </c>
      <c r="H53" s="345">
        <f t="shared" ref="H53" si="21">H52*H52-13*H52+12</f>
        <v>-30.249657064471876</v>
      </c>
      <c r="I53" s="349">
        <f t="shared" ref="I53" si="22">I52*I52-13*I52+12</f>
        <v>-30.245389422344161</v>
      </c>
      <c r="J53" s="349">
        <f t="shared" ref="J53" si="23">J52*J52-13*J52+12</f>
        <v>-30.236244474927602</v>
      </c>
      <c r="K53" s="349">
        <f t="shared" ref="K53" si="24">K52*K52-13*K52+12</f>
        <v>-30.222222222222221</v>
      </c>
      <c r="L53" s="349">
        <f t="shared" ref="L53" si="25">L52*L52-13*L52+12</f>
        <v>-30.203322664228011</v>
      </c>
      <c r="M53" s="349">
        <f t="shared" ref="M53" si="26">M52*M52-13*M52+12</f>
        <v>-30.179545800944986</v>
      </c>
      <c r="N53" s="349">
        <f t="shared" ref="N53" si="27">N52*N52-13*N52+12</f>
        <v>-30.15089163237311</v>
      </c>
      <c r="O53" s="349">
        <f t="shared" ref="O53" si="28">O52*O52-13*O52+12</f>
        <v>-30.117360158512419</v>
      </c>
      <c r="P53" s="349">
        <f t="shared" ref="P53" si="29">P52*P52-13*P52+12</f>
        <v>-30.078951379362906</v>
      </c>
      <c r="Q53" s="349">
        <f t="shared" ref="Q53" si="30">Q52*Q52-13*Q52+12</f>
        <v>-30.035665294924556</v>
      </c>
      <c r="R53" s="349">
        <f t="shared" ref="R53" si="31">R52*R52-13*R52+12</f>
        <v>-29.987501905197377</v>
      </c>
      <c r="S53" s="349">
        <f t="shared" ref="S53" si="32">S52*S52-13*S52+12</f>
        <v>-29.934461210181368</v>
      </c>
      <c r="T53" s="130"/>
      <c r="U53" s="130"/>
      <c r="V53" s="130"/>
      <c r="W53" s="130"/>
      <c r="X53" s="130"/>
    </row>
    <row r="54" spans="1:24" ht="15" thickBot="1" x14ac:dyDescent="0.35">
      <c r="A54" s="130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</row>
    <row r="55" spans="1:24" x14ac:dyDescent="0.3">
      <c r="A55" s="130"/>
      <c r="B55" s="359" t="s">
        <v>442</v>
      </c>
      <c r="C55" s="360">
        <f>MIN(C53:R53)</f>
        <v>-30.249657064471876</v>
      </c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</row>
    <row r="56" spans="1:24" x14ac:dyDescent="0.3">
      <c r="A56" s="130"/>
      <c r="B56" s="361" t="s">
        <v>439</v>
      </c>
      <c r="C56" s="362">
        <v>6</v>
      </c>
      <c r="T56" s="130"/>
      <c r="U56" s="130"/>
      <c r="V56" s="130"/>
      <c r="W56" s="130"/>
      <c r="X56" s="130"/>
    </row>
    <row r="57" spans="1:24" ht="15" thickBot="1" x14ac:dyDescent="0.35">
      <c r="A57" s="130"/>
      <c r="B57" s="363" t="s">
        <v>443</v>
      </c>
      <c r="C57" s="364">
        <f>I52-G52</f>
        <v>9.8765432098764983E-2</v>
      </c>
      <c r="T57" s="130"/>
      <c r="U57" s="130"/>
      <c r="V57" s="130"/>
      <c r="W57" s="130"/>
      <c r="X57" s="130"/>
    </row>
    <row r="58" spans="1:24" x14ac:dyDescent="0.3">
      <c r="A58" s="130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</row>
    <row r="59" spans="1:24" x14ac:dyDescent="0.3">
      <c r="A59" s="130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</row>
    <row r="60" spans="1:24" x14ac:dyDescent="0.3">
      <c r="A60" s="130"/>
      <c r="B60" s="278" t="s">
        <v>448</v>
      </c>
      <c r="C60" s="279"/>
      <c r="D60" s="279"/>
      <c r="E60" s="279"/>
      <c r="F60" s="279"/>
      <c r="G60" s="279"/>
      <c r="H60" s="280"/>
      <c r="I60" s="228"/>
      <c r="J60" s="228"/>
      <c r="K60" s="228"/>
      <c r="L60" s="228"/>
      <c r="M60" s="228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</row>
    <row r="61" spans="1:24" x14ac:dyDescent="0.3">
      <c r="A61" s="130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369" t="s">
        <v>436</v>
      </c>
      <c r="M61" s="228"/>
      <c r="N61" s="369" t="s">
        <v>435</v>
      </c>
      <c r="O61" s="130"/>
      <c r="P61" s="130"/>
      <c r="Q61" s="130"/>
      <c r="R61" s="130"/>
      <c r="S61" s="130"/>
      <c r="T61" s="130"/>
      <c r="U61" s="130"/>
      <c r="V61" s="130"/>
      <c r="W61" s="130"/>
      <c r="X61" s="130"/>
    </row>
    <row r="62" spans="1:24" x14ac:dyDescent="0.3">
      <c r="A62" s="130"/>
      <c r="L62" s="365">
        <v>16</v>
      </c>
      <c r="N62" s="365">
        <v>0.1</v>
      </c>
      <c r="P62" s="130"/>
      <c r="Q62" s="130"/>
      <c r="R62" s="130"/>
      <c r="S62" s="130"/>
      <c r="T62" s="130"/>
      <c r="U62" s="130"/>
      <c r="V62" s="130"/>
      <c r="W62" s="130"/>
      <c r="X62" s="130"/>
    </row>
    <row r="63" spans="1:24" x14ac:dyDescent="0.3">
      <c r="A63" s="130"/>
      <c r="P63" s="130"/>
      <c r="Q63" s="130"/>
      <c r="R63" s="130"/>
      <c r="S63" s="130"/>
      <c r="T63" s="130"/>
      <c r="U63" s="130"/>
      <c r="V63" s="130"/>
      <c r="W63" s="130"/>
      <c r="X63" s="130"/>
    </row>
    <row r="64" spans="1:24" x14ac:dyDescent="0.3">
      <c r="A64" s="130"/>
      <c r="P64" s="130"/>
      <c r="Q64" s="130"/>
      <c r="R64" s="130"/>
      <c r="S64" s="130"/>
      <c r="T64" s="130"/>
      <c r="U64" s="130"/>
      <c r="V64" s="130"/>
      <c r="W64" s="130"/>
      <c r="X64" s="130"/>
    </row>
    <row r="65" spans="1:24" x14ac:dyDescent="0.3">
      <c r="A65" s="130"/>
      <c r="P65" s="130"/>
      <c r="Q65" s="130"/>
      <c r="R65" s="130"/>
      <c r="S65" s="130"/>
      <c r="T65" s="130"/>
      <c r="U65" s="130"/>
      <c r="V65" s="130"/>
      <c r="W65" s="130"/>
      <c r="X65" s="130"/>
    </row>
    <row r="66" spans="1:24" x14ac:dyDescent="0.3">
      <c r="A66" s="130"/>
      <c r="P66" s="130"/>
      <c r="Q66" s="130"/>
      <c r="R66" s="130"/>
      <c r="S66" s="130"/>
      <c r="T66" s="130"/>
      <c r="U66" s="130"/>
      <c r="V66" s="130"/>
      <c r="W66" s="130"/>
      <c r="X66" s="130"/>
    </row>
    <row r="67" spans="1:24" x14ac:dyDescent="0.3">
      <c r="A67" s="130"/>
      <c r="B67" s="345" t="s">
        <v>449</v>
      </c>
      <c r="C67" s="344" t="s">
        <v>450</v>
      </c>
      <c r="D67" s="344" t="s">
        <v>451</v>
      </c>
      <c r="E67" s="344" t="s">
        <v>452</v>
      </c>
      <c r="F67" s="344" t="s">
        <v>453</v>
      </c>
      <c r="G67" s="344" t="s">
        <v>454</v>
      </c>
      <c r="H67" s="344" t="s">
        <v>433</v>
      </c>
      <c r="I67" s="344" t="s">
        <v>434</v>
      </c>
      <c r="P67" s="130"/>
      <c r="Q67" s="130"/>
      <c r="R67" s="130"/>
      <c r="S67" s="130"/>
      <c r="T67" s="130"/>
      <c r="U67" s="130"/>
      <c r="V67" s="130"/>
      <c r="W67" s="130"/>
      <c r="X67" s="130"/>
    </row>
    <row r="68" spans="1:24" x14ac:dyDescent="0.3">
      <c r="A68" s="130"/>
      <c r="B68" s="346">
        <v>0</v>
      </c>
      <c r="C68" s="208" t="s">
        <v>456</v>
      </c>
      <c r="D68" s="208" t="s">
        <v>456</v>
      </c>
      <c r="E68" s="208" t="s">
        <v>456</v>
      </c>
      <c r="F68" s="208" t="s">
        <v>456</v>
      </c>
      <c r="G68" s="208" t="s">
        <v>456</v>
      </c>
      <c r="H68" s="213">
        <v>0</v>
      </c>
      <c r="I68" s="213">
        <v>8</v>
      </c>
      <c r="P68" s="130"/>
      <c r="Q68" s="130"/>
      <c r="R68" s="130"/>
      <c r="S68" s="130"/>
      <c r="T68" s="130"/>
      <c r="U68" s="130"/>
      <c r="V68" s="130"/>
      <c r="W68" s="130"/>
      <c r="X68" s="130"/>
    </row>
    <row r="69" spans="1:24" x14ac:dyDescent="0.3">
      <c r="A69" s="130"/>
      <c r="B69" s="346">
        <v>1</v>
      </c>
      <c r="C69" s="213">
        <f>0.5*(H68+I68)-(N62/2)</f>
        <v>3.95</v>
      </c>
      <c r="D69" s="213">
        <f>0.5*(H68+I68)+(N62/2)</f>
        <v>4.05</v>
      </c>
      <c r="E69" s="213">
        <f>C69*C69-13*C69+12</f>
        <v>-23.747500000000002</v>
      </c>
      <c r="F69" s="213" t="s">
        <v>455</v>
      </c>
      <c r="G69" s="213">
        <f>D69*D69-13*D69+12</f>
        <v>-24.247500000000002</v>
      </c>
      <c r="H69" s="213">
        <v>3.95</v>
      </c>
      <c r="I69" s="213">
        <v>8</v>
      </c>
      <c r="P69" s="130"/>
      <c r="Q69" s="130"/>
      <c r="R69" s="130"/>
      <c r="S69" s="130"/>
      <c r="T69" s="130"/>
      <c r="U69" s="130"/>
      <c r="V69" s="130"/>
      <c r="W69" s="130"/>
      <c r="X69" s="130"/>
    </row>
    <row r="70" spans="1:24" x14ac:dyDescent="0.3">
      <c r="A70" s="130"/>
      <c r="B70" s="346">
        <v>2</v>
      </c>
      <c r="C70" s="213">
        <f>0.5*(H69+I69)-(N62/2)</f>
        <v>5.9249999999999998</v>
      </c>
      <c r="D70" s="213">
        <f>0.5*(H69+I69)+(N62/2)</f>
        <v>6.0249999999999995</v>
      </c>
      <c r="E70" s="213">
        <f t="shared" ref="E70:E76" si="33">C70*C70-13*C70+12</f>
        <v>-29.919374999999995</v>
      </c>
      <c r="F70" s="213" t="s">
        <v>455</v>
      </c>
      <c r="G70" s="213">
        <f t="shared" ref="G70:G76" si="34">D70*D70-13*D70+12</f>
        <v>-30.024374999999992</v>
      </c>
      <c r="H70" s="213">
        <v>5.9249999999999998</v>
      </c>
      <c r="I70" s="213">
        <v>8</v>
      </c>
      <c r="P70" s="130"/>
      <c r="Q70" s="130"/>
      <c r="R70" s="130"/>
      <c r="S70" s="130"/>
      <c r="T70" s="130"/>
      <c r="U70" s="130"/>
      <c r="V70" s="130"/>
      <c r="W70" s="130"/>
      <c r="X70" s="130"/>
    </row>
    <row r="71" spans="1:24" x14ac:dyDescent="0.3">
      <c r="A71" s="130"/>
      <c r="B71" s="346">
        <v>3</v>
      </c>
      <c r="C71" s="213">
        <f>0.5*(H70+I70)-(N62/2)</f>
        <v>6.9125000000000005</v>
      </c>
      <c r="D71" s="213">
        <f>0.5*(H70+I70)+(N62/2)</f>
        <v>7.0125000000000002</v>
      </c>
      <c r="E71" s="213">
        <f t="shared" si="33"/>
        <v>-30.079843750000002</v>
      </c>
      <c r="F71" s="213" t="s">
        <v>457</v>
      </c>
      <c r="G71" s="213">
        <f t="shared" si="34"/>
        <v>-29.987343750000008</v>
      </c>
      <c r="H71" s="213">
        <v>5.9249999999999998</v>
      </c>
      <c r="I71" s="213">
        <v>7.0125000000000002</v>
      </c>
      <c r="P71" s="130"/>
      <c r="Q71" s="130"/>
      <c r="R71" s="130"/>
      <c r="S71" s="130"/>
      <c r="T71" s="130"/>
      <c r="U71" s="130"/>
      <c r="V71" s="130"/>
      <c r="W71" s="130"/>
      <c r="X71" s="130"/>
    </row>
    <row r="72" spans="1:24" x14ac:dyDescent="0.3">
      <c r="A72" s="130"/>
      <c r="B72" s="346">
        <v>4</v>
      </c>
      <c r="C72" s="213">
        <f>0.5*(H71+I71)-(N62/2)</f>
        <v>6.4187500000000002</v>
      </c>
      <c r="D72" s="213">
        <f>0.5*(H71+I71)+(N62/2)</f>
        <v>6.5187499999999998</v>
      </c>
      <c r="E72" s="213">
        <f t="shared" si="33"/>
        <v>-30.243398437500005</v>
      </c>
      <c r="F72" s="213" t="s">
        <v>455</v>
      </c>
      <c r="G72" s="213">
        <f t="shared" si="34"/>
        <v>-30.249648437499992</v>
      </c>
      <c r="H72" s="213">
        <v>6.4187500000000002</v>
      </c>
      <c r="I72" s="213">
        <v>7.0125000000000002</v>
      </c>
      <c r="P72" s="130"/>
      <c r="Q72" s="130"/>
      <c r="R72" s="130"/>
      <c r="S72" s="130"/>
      <c r="T72" s="130"/>
      <c r="U72" s="130"/>
      <c r="V72" s="130"/>
      <c r="W72" s="130"/>
      <c r="X72" s="130"/>
    </row>
    <row r="73" spans="1:24" x14ac:dyDescent="0.3">
      <c r="A73" s="130"/>
      <c r="B73" s="346">
        <v>5</v>
      </c>
      <c r="C73" s="213">
        <f>0.5*(H72+I72)-(N62/2)</f>
        <v>6.6656250000000004</v>
      </c>
      <c r="D73" s="213">
        <f>0.5*(H72+I72)+(N62/2)</f>
        <v>6.765625</v>
      </c>
      <c r="E73" s="213">
        <f t="shared" si="33"/>
        <v>-30.222568359374996</v>
      </c>
      <c r="F73" s="213" t="s">
        <v>457</v>
      </c>
      <c r="G73" s="213">
        <f t="shared" si="34"/>
        <v>-30.179443359375</v>
      </c>
      <c r="H73" s="213">
        <v>6.4187500000000002</v>
      </c>
      <c r="I73" s="213">
        <v>6.765625</v>
      </c>
      <c r="P73" s="130"/>
      <c r="Q73" s="130"/>
      <c r="R73" s="130"/>
      <c r="S73" s="130"/>
      <c r="T73" s="130"/>
      <c r="U73" s="130"/>
      <c r="V73" s="130"/>
      <c r="W73" s="130"/>
      <c r="X73" s="130"/>
    </row>
    <row r="74" spans="1:24" x14ac:dyDescent="0.3">
      <c r="A74" s="130"/>
      <c r="B74" s="346">
        <v>6</v>
      </c>
      <c r="C74" s="213">
        <f>0.5*(H73+I73)-(N62/2)</f>
        <v>6.5421874999999998</v>
      </c>
      <c r="D74" s="213">
        <f>0.5*(H73+I73)+(N62/2)</f>
        <v>6.6421874999999995</v>
      </c>
      <c r="E74" s="213">
        <f t="shared" si="33"/>
        <v>-30.248220214843741</v>
      </c>
      <c r="F74" s="213" t="s">
        <v>457</v>
      </c>
      <c r="G74" s="213">
        <f t="shared" si="34"/>
        <v>-30.229782714843743</v>
      </c>
      <c r="H74" s="213">
        <v>6.4187500000000002</v>
      </c>
      <c r="I74" s="213">
        <v>6.6421874999999995</v>
      </c>
      <c r="P74" s="130"/>
      <c r="Q74" s="130"/>
      <c r="R74" s="130"/>
      <c r="S74" s="130"/>
      <c r="T74" s="130"/>
      <c r="U74" s="130"/>
      <c r="V74" s="130"/>
      <c r="W74" s="130"/>
      <c r="X74" s="130"/>
    </row>
    <row r="75" spans="1:24" x14ac:dyDescent="0.3">
      <c r="A75" s="130"/>
      <c r="B75" s="346">
        <v>7</v>
      </c>
      <c r="C75" s="213">
        <f>0.5*(H74+I74)-(N62/2)</f>
        <v>6.48046875</v>
      </c>
      <c r="D75" s="213">
        <f>0.5*(H74+I74)+(N62/2)</f>
        <v>6.5804687499999996</v>
      </c>
      <c r="E75" s="213">
        <f t="shared" si="33"/>
        <v>-30.249618530273438</v>
      </c>
      <c r="F75" s="213" t="s">
        <v>457</v>
      </c>
      <c r="G75" s="213">
        <f t="shared" si="34"/>
        <v>-30.243524780273439</v>
      </c>
      <c r="H75" s="213">
        <v>6.4187500000000002</v>
      </c>
      <c r="I75" s="213">
        <v>6.5804687499999996</v>
      </c>
      <c r="P75" s="130"/>
      <c r="Q75" s="130"/>
      <c r="R75" s="130"/>
      <c r="S75" s="130"/>
      <c r="T75" s="130"/>
      <c r="U75" s="130"/>
      <c r="V75" s="130"/>
      <c r="W75" s="130"/>
      <c r="X75" s="130"/>
    </row>
    <row r="76" spans="1:24" x14ac:dyDescent="0.3">
      <c r="A76" s="130"/>
      <c r="B76" s="346">
        <v>8</v>
      </c>
      <c r="C76" s="213">
        <f>0.5*(H75+I75)-(N62/2)</f>
        <v>6.4496093750000005</v>
      </c>
      <c r="D76" s="213">
        <f>0.5*(H75+I75)+(N62/2)</f>
        <v>6.5496093750000002</v>
      </c>
      <c r="E76" s="213">
        <f>C76*C76-13*C76+12</f>
        <v>-30.247460784912114</v>
      </c>
      <c r="F76" s="213" t="s">
        <v>455</v>
      </c>
      <c r="G76" s="213">
        <f t="shared" si="34"/>
        <v>-30.247538909912116</v>
      </c>
      <c r="H76" s="213">
        <v>6.4496093750000005</v>
      </c>
      <c r="I76" s="213">
        <v>6.5804687499999996</v>
      </c>
      <c r="K76" s="368"/>
      <c r="L76" s="368"/>
      <c r="M76" s="368"/>
      <c r="N76" s="368"/>
      <c r="O76" s="368"/>
      <c r="P76" s="130"/>
      <c r="Q76" s="130"/>
      <c r="R76" s="130"/>
      <c r="S76" s="130"/>
      <c r="T76" s="130"/>
      <c r="U76" s="130"/>
      <c r="V76" s="130"/>
      <c r="W76" s="130"/>
      <c r="X76" s="130"/>
    </row>
    <row r="77" spans="1:24" ht="15" thickBot="1" x14ac:dyDescent="0.35">
      <c r="A77" s="130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</row>
    <row r="78" spans="1:24" x14ac:dyDescent="0.3">
      <c r="A78" s="130"/>
      <c r="B78" s="372" t="s">
        <v>458</v>
      </c>
      <c r="C78" s="360">
        <f>H76</f>
        <v>6.4496093750000005</v>
      </c>
      <c r="D78" s="228"/>
      <c r="E78" s="382" t="s">
        <v>462</v>
      </c>
      <c r="F78" s="381">
        <f>C75</f>
        <v>6.48046875</v>
      </c>
      <c r="G78" s="228"/>
      <c r="H78" s="228"/>
      <c r="I78" s="228"/>
      <c r="J78" s="228"/>
      <c r="K78" s="228"/>
      <c r="L78" s="228"/>
      <c r="M78" s="228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</row>
    <row r="79" spans="1:24" x14ac:dyDescent="0.3">
      <c r="A79" s="130"/>
      <c r="B79" s="373" t="s">
        <v>459</v>
      </c>
      <c r="C79" s="362">
        <f>I76</f>
        <v>6.5804687499999996</v>
      </c>
      <c r="D79" s="228"/>
      <c r="E79" s="373" t="s">
        <v>463</v>
      </c>
      <c r="F79" s="377">
        <f>D76</f>
        <v>6.5496093750000002</v>
      </c>
      <c r="G79" s="228"/>
      <c r="H79" s="228"/>
      <c r="I79" s="228"/>
      <c r="J79" s="228"/>
      <c r="K79" s="228"/>
      <c r="L79" s="228"/>
      <c r="M79" s="228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</row>
    <row r="80" spans="1:24" x14ac:dyDescent="0.3">
      <c r="A80" s="130"/>
      <c r="B80" s="373" t="s">
        <v>460</v>
      </c>
      <c r="C80" s="362">
        <f>C78*C78-13*C78+12</f>
        <v>-30.247460784912114</v>
      </c>
      <c r="D80" s="228"/>
      <c r="E80" s="379" t="s">
        <v>464</v>
      </c>
      <c r="F80" s="380">
        <f>F78*F78-13*F78+12</f>
        <v>-30.249618530273438</v>
      </c>
      <c r="G80" s="228"/>
      <c r="H80" s="228"/>
      <c r="I80" s="228"/>
      <c r="J80" s="228"/>
      <c r="K80" s="228"/>
      <c r="L80" s="228"/>
      <c r="M80" s="228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</row>
    <row r="81" spans="2:21" ht="15" thickBot="1" x14ac:dyDescent="0.35">
      <c r="B81" s="374" t="s">
        <v>461</v>
      </c>
      <c r="C81" s="364">
        <f>C79*C79-13*C79+12</f>
        <v>-30.243524780273439</v>
      </c>
      <c r="D81" s="228"/>
      <c r="E81" s="374" t="s">
        <v>465</v>
      </c>
      <c r="F81" s="378">
        <f>F79*F79-13*F79+12</f>
        <v>-30.247538909912116</v>
      </c>
      <c r="G81" s="228"/>
      <c r="H81" s="228"/>
      <c r="I81" s="228"/>
      <c r="J81" s="228"/>
      <c r="K81" s="228"/>
      <c r="L81" s="228"/>
      <c r="M81" s="228"/>
    </row>
    <row r="82" spans="2:21" x14ac:dyDescent="0.3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</row>
    <row r="83" spans="2:21" x14ac:dyDescent="0.3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130"/>
      <c r="O83" s="130"/>
    </row>
    <row r="84" spans="2:21" x14ac:dyDescent="0.3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7" t="s">
        <v>446</v>
      </c>
      <c r="N84" s="1"/>
      <c r="O84" s="227" t="s">
        <v>434</v>
      </c>
      <c r="P84" s="1"/>
      <c r="R84" s="1"/>
      <c r="S84" s="227" t="s">
        <v>436</v>
      </c>
      <c r="T84" s="1"/>
      <c r="U84" s="227" t="s">
        <v>470</v>
      </c>
    </row>
    <row r="85" spans="2:21" x14ac:dyDescent="0.3">
      <c r="B85" s="278" t="s">
        <v>471</v>
      </c>
      <c r="C85" s="279"/>
      <c r="D85" s="279"/>
      <c r="E85" s="279"/>
      <c r="F85" s="279"/>
      <c r="G85" s="279"/>
      <c r="H85" s="280"/>
      <c r="M85" s="365">
        <v>0</v>
      </c>
      <c r="N85" s="1"/>
      <c r="O85" s="365">
        <v>8</v>
      </c>
      <c r="P85" s="1"/>
      <c r="Q85" s="62"/>
      <c r="R85" s="1"/>
      <c r="S85" s="365">
        <v>16</v>
      </c>
      <c r="T85" s="1"/>
      <c r="U85" s="365">
        <v>2584</v>
      </c>
    </row>
    <row r="87" spans="2:21" x14ac:dyDescent="0.3">
      <c r="O87" s="130"/>
      <c r="P87" s="130"/>
      <c r="Q87" s="130"/>
      <c r="R87" s="211"/>
      <c r="S87" s="227" t="s">
        <v>435</v>
      </c>
      <c r="T87" s="349">
        <f>(O85-M85) / U85</f>
        <v>3.0959752321981426E-3</v>
      </c>
    </row>
    <row r="93" spans="2:21" x14ac:dyDescent="0.3">
      <c r="B93" t="s">
        <v>466</v>
      </c>
    </row>
    <row r="94" spans="2:21" x14ac:dyDescent="0.3">
      <c r="B94" s="347" t="s">
        <v>467</v>
      </c>
      <c r="C94" s="347">
        <v>0</v>
      </c>
      <c r="D94" s="347">
        <v>1</v>
      </c>
      <c r="E94" s="347">
        <v>2</v>
      </c>
      <c r="F94" s="347">
        <v>3</v>
      </c>
      <c r="G94" s="347">
        <v>4</v>
      </c>
      <c r="H94" s="347">
        <v>5</v>
      </c>
      <c r="I94" s="347">
        <v>6</v>
      </c>
      <c r="J94" s="347">
        <v>7</v>
      </c>
      <c r="K94" s="347">
        <v>8</v>
      </c>
      <c r="L94" s="347">
        <v>9</v>
      </c>
      <c r="M94" s="347">
        <v>10</v>
      </c>
      <c r="N94" s="347">
        <v>11</v>
      </c>
      <c r="O94" s="347">
        <v>12</v>
      </c>
      <c r="P94" s="347">
        <v>13</v>
      </c>
      <c r="Q94" s="347">
        <v>14</v>
      </c>
      <c r="R94" s="347">
        <v>15</v>
      </c>
      <c r="S94" s="347">
        <v>16</v>
      </c>
      <c r="T94" s="347">
        <v>17</v>
      </c>
    </row>
    <row r="95" spans="2:21" x14ac:dyDescent="0.3">
      <c r="B95" s="385" t="s">
        <v>468</v>
      </c>
      <c r="C95" s="385">
        <v>1</v>
      </c>
      <c r="D95" s="385">
        <v>1</v>
      </c>
      <c r="E95" s="385">
        <v>2</v>
      </c>
      <c r="F95" s="385">
        <v>3</v>
      </c>
      <c r="G95" s="385">
        <v>5</v>
      </c>
      <c r="H95" s="385">
        <v>8</v>
      </c>
      <c r="I95" s="385">
        <v>13</v>
      </c>
      <c r="J95" s="385">
        <v>21</v>
      </c>
      <c r="K95" s="385">
        <v>34</v>
      </c>
      <c r="L95" s="385">
        <v>55</v>
      </c>
      <c r="M95" s="385">
        <v>89</v>
      </c>
      <c r="N95" s="385">
        <v>144</v>
      </c>
      <c r="O95" s="385">
        <v>233</v>
      </c>
      <c r="P95" s="385">
        <v>377</v>
      </c>
      <c r="Q95" s="385">
        <v>610</v>
      </c>
      <c r="R95" s="385">
        <v>987</v>
      </c>
      <c r="S95" s="385">
        <v>1597</v>
      </c>
      <c r="T95" s="385">
        <v>2584</v>
      </c>
    </row>
    <row r="96" spans="2:21" ht="15" thickBot="1" x14ac:dyDescent="0.35"/>
    <row r="97" spans="2:15" ht="15" thickBot="1" x14ac:dyDescent="0.35">
      <c r="B97" s="398" t="s">
        <v>469</v>
      </c>
      <c r="C97" s="394" t="s">
        <v>450</v>
      </c>
      <c r="D97" s="339" t="s">
        <v>451</v>
      </c>
      <c r="E97" s="339" t="s">
        <v>452</v>
      </c>
      <c r="F97" s="339" t="s">
        <v>453</v>
      </c>
      <c r="G97" s="339" t="s">
        <v>454</v>
      </c>
      <c r="H97" s="339" t="s">
        <v>433</v>
      </c>
      <c r="I97" s="393" t="s">
        <v>434</v>
      </c>
    </row>
    <row r="98" spans="2:15" x14ac:dyDescent="0.3">
      <c r="B98" s="399">
        <v>0</v>
      </c>
      <c r="C98" s="395" t="s">
        <v>456</v>
      </c>
      <c r="D98" s="386" t="s">
        <v>456</v>
      </c>
      <c r="E98" s="386" t="s">
        <v>456</v>
      </c>
      <c r="F98" s="386" t="s">
        <v>456</v>
      </c>
      <c r="G98" s="386" t="s">
        <v>456</v>
      </c>
      <c r="H98" s="383">
        <v>0</v>
      </c>
      <c r="I98" s="387">
        <v>8</v>
      </c>
      <c r="K98" s="372" t="s">
        <v>472</v>
      </c>
      <c r="L98" s="391">
        <f>H113</f>
        <v>6.4976634885067224</v>
      </c>
    </row>
    <row r="99" spans="2:15" x14ac:dyDescent="0.3">
      <c r="B99" s="399">
        <v>1</v>
      </c>
      <c r="C99" s="396">
        <f>H98+(Q95/S95)*(I98-H98)-(POWER(-1,S85-B99+1)/S95)*T87</f>
        <v>3.0557275541795663</v>
      </c>
      <c r="D99" s="383">
        <f>H98+(R95/S95)*(I98-H98)+(POWER(-1,S85-B99+1)/S95)*T87</f>
        <v>4.9442724458204328</v>
      </c>
      <c r="E99" s="383">
        <f>C99*C99-13*C99+12</f>
        <v>-18.386987318962127</v>
      </c>
      <c r="F99" s="386" t="s">
        <v>455</v>
      </c>
      <c r="G99" s="383">
        <f>D99*D99-13*D99+12</f>
        <v>-27.829711777166466</v>
      </c>
      <c r="H99" s="383">
        <f>C99</f>
        <v>3.0557275541795663</v>
      </c>
      <c r="I99" s="387">
        <v>8</v>
      </c>
      <c r="K99" s="373" t="s">
        <v>473</v>
      </c>
      <c r="L99" s="392">
        <f>I113</f>
        <v>6.5042528813943559</v>
      </c>
    </row>
    <row r="100" spans="2:15" x14ac:dyDescent="0.3">
      <c r="B100" s="399">
        <v>2</v>
      </c>
      <c r="C100" s="396">
        <f>D99</f>
        <v>4.9442724458204328</v>
      </c>
      <c r="D100" s="383">
        <f>H99+(Q95/R95)*(I99-H99)+(POWER(-1,$S$85-B100+1)/R95)*$T$87</f>
        <v>6.1114551083591326</v>
      </c>
      <c r="E100" s="383">
        <f t="shared" ref="E100:E113" si="35">C100*C100-13*C100+12</f>
        <v>-27.829711777166466</v>
      </c>
      <c r="F100" s="386" t="s">
        <v>455</v>
      </c>
      <c r="G100" s="383">
        <f t="shared" ref="G100:G113" si="36">D100*D100-13*D100+12</f>
        <v>-30.099032867179787</v>
      </c>
      <c r="H100" s="383">
        <v>4.9442724458204328</v>
      </c>
      <c r="I100" s="387">
        <v>8</v>
      </c>
      <c r="K100" s="401" t="s">
        <v>474</v>
      </c>
      <c r="L100" s="402">
        <f>L98*L98-13*L98+12</f>
        <v>-30.249994540714042</v>
      </c>
    </row>
    <row r="101" spans="2:15" ht="15" thickBot="1" x14ac:dyDescent="0.35">
      <c r="B101" s="399">
        <v>3</v>
      </c>
      <c r="C101" s="396">
        <f>H100+(O95/Q95)*(I100-H100)+(POWER(-1,S85-B101+1)/Q95)*T87</f>
        <v>6.1114652590975993</v>
      </c>
      <c r="D101" s="383">
        <f>H100+(P95/Q95)*(I100-H100)+(POWER(-1,$S$85-B101+1)/Q95)*$T$87</f>
        <v>6.8328173374613002</v>
      </c>
      <c r="E101" s="383">
        <f t="shared" si="35"/>
        <v>-30.099040755111908</v>
      </c>
      <c r="F101" s="386" t="s">
        <v>455</v>
      </c>
      <c r="G101" s="383">
        <f t="shared" si="36"/>
        <v>-30.139232619885178</v>
      </c>
      <c r="H101" s="383">
        <v>6.1114652590975993</v>
      </c>
      <c r="I101" s="387">
        <v>8</v>
      </c>
      <c r="K101" s="374" t="s">
        <v>475</v>
      </c>
      <c r="L101" s="378">
        <f>L99*L99-13*L99+12</f>
        <v>-30.24998191299985</v>
      </c>
    </row>
    <row r="102" spans="2:15" x14ac:dyDescent="0.3">
      <c r="B102" s="399">
        <v>4</v>
      </c>
      <c r="C102" s="396">
        <v>6.8328173374613002</v>
      </c>
      <c r="D102" s="383">
        <f>H101+(O95/P95)*(I101-H101)+(POWER(-1,$S$85-B102+1)/P95)*$T$87</f>
        <v>7.2786416481029761</v>
      </c>
      <c r="E102" s="383">
        <f t="shared" si="35"/>
        <v>-30.139232619885178</v>
      </c>
      <c r="F102" s="386" t="s">
        <v>457</v>
      </c>
      <c r="G102" s="383">
        <f t="shared" si="36"/>
        <v>-29.643717183839485</v>
      </c>
      <c r="H102" s="383">
        <v>6.1114652590975993</v>
      </c>
      <c r="I102" s="387">
        <v>7.2786416481029761</v>
      </c>
      <c r="L102" s="384"/>
    </row>
    <row r="103" spans="2:15" x14ac:dyDescent="0.3">
      <c r="B103" s="399">
        <v>5</v>
      </c>
      <c r="C103" s="396">
        <f>H102+(M95/O95)*(I102-H102)-(POWER(-1,$S$85-B103+1)/O95)*$T$87</f>
        <v>6.5572832962059522</v>
      </c>
      <c r="D103" s="383">
        <f>C102</f>
        <v>6.8328173374613002</v>
      </c>
      <c r="E103" s="383">
        <f t="shared" si="35"/>
        <v>-30.246718623975781</v>
      </c>
      <c r="F103" s="386" t="s">
        <v>457</v>
      </c>
      <c r="G103" s="383">
        <f t="shared" si="36"/>
        <v>-30.139232619885178</v>
      </c>
      <c r="H103" s="383">
        <v>6.1114652590975993</v>
      </c>
      <c r="I103" s="387">
        <v>6.8328173374613002</v>
      </c>
      <c r="K103" s="212"/>
      <c r="L103" s="212"/>
      <c r="M103" s="212"/>
      <c r="N103" s="212"/>
      <c r="O103" s="212"/>
    </row>
    <row r="104" spans="2:15" x14ac:dyDescent="0.3">
      <c r="B104" s="399">
        <v>6</v>
      </c>
      <c r="C104" s="396">
        <f>H103+(L95/N95)*(I103-H103)-(POWER(-1,$S$85-B104+1)/N95)*$T$87</f>
        <v>6.3870031777450702</v>
      </c>
      <c r="D104" s="383">
        <f>C103</f>
        <v>6.5572832962059522</v>
      </c>
      <c r="E104" s="383">
        <f t="shared" si="35"/>
        <v>-30.237231718160281</v>
      </c>
      <c r="F104" s="386" t="s">
        <v>455</v>
      </c>
      <c r="G104" s="383">
        <f t="shared" si="36"/>
        <v>-30.246718623975781</v>
      </c>
      <c r="H104" s="383">
        <v>6.3870031777450702</v>
      </c>
      <c r="I104" s="387">
        <v>6.8328173374613002</v>
      </c>
    </row>
    <row r="105" spans="2:15" x14ac:dyDescent="0.3">
      <c r="B105" s="399">
        <v>7</v>
      </c>
      <c r="C105" s="396">
        <f>D104</f>
        <v>6.5572832962059522</v>
      </c>
      <c r="D105" s="383">
        <f>H104+(L95/M95)*(I104-H104)+(POWER(-1,$S$85-B105+1)/M95)*$T$87</f>
        <v>6.6625410963925402</v>
      </c>
      <c r="E105" s="383">
        <f t="shared" si="35"/>
        <v>-30.246718623975781</v>
      </c>
      <c r="F105" s="386" t="s">
        <v>457</v>
      </c>
      <c r="G105" s="383">
        <f t="shared" si="36"/>
        <v>-30.223580391983511</v>
      </c>
      <c r="H105" s="383">
        <v>6.3870031777450702</v>
      </c>
      <c r="I105" s="387">
        <v>6.6625410963925402</v>
      </c>
    </row>
    <row r="106" spans="2:15" x14ac:dyDescent="0.3">
      <c r="B106" s="399">
        <v>8</v>
      </c>
      <c r="C106" s="396">
        <f>H105+(J95/L95)*(I105-H105)-(POWER(-1,$S$85-B106+1)/L95)*$T$87</f>
        <v>6.4922648553237803</v>
      </c>
      <c r="D106" s="383">
        <f>C105</f>
        <v>6.5572832962059522</v>
      </c>
      <c r="E106" s="383">
        <f t="shared" si="35"/>
        <v>-30.249940167536835</v>
      </c>
      <c r="F106" s="386" t="s">
        <v>457</v>
      </c>
      <c r="G106" s="383">
        <f t="shared" si="36"/>
        <v>-30.246718623975781</v>
      </c>
      <c r="H106" s="383">
        <v>6.3870031777450702</v>
      </c>
      <c r="I106" s="387">
        <v>6.5572832962059522</v>
      </c>
    </row>
    <row r="107" spans="2:15" x14ac:dyDescent="0.3">
      <c r="B107" s="399">
        <v>9</v>
      </c>
      <c r="C107" s="396">
        <f>H106+(I95/K95)*(I106-H106)-(POWER(-1,$S$85-B107+1)/K95)*$T$87</f>
        <v>6.452019223767401</v>
      </c>
      <c r="D107" s="383">
        <f>C106</f>
        <v>6.4922648553237803</v>
      </c>
      <c r="E107" s="383">
        <f t="shared" si="35"/>
        <v>-30.247697845112107</v>
      </c>
      <c r="F107" s="386" t="s">
        <v>455</v>
      </c>
      <c r="G107" s="383">
        <f t="shared" si="36"/>
        <v>-30.249940167536835</v>
      </c>
      <c r="H107" s="383">
        <v>6.452019223767401</v>
      </c>
      <c r="I107" s="387">
        <v>6.5572832962059522</v>
      </c>
    </row>
    <row r="108" spans="2:15" x14ac:dyDescent="0.3">
      <c r="B108" s="399">
        <v>10</v>
      </c>
      <c r="C108" s="396">
        <f>D107</f>
        <v>6.4922648553237803</v>
      </c>
      <c r="D108" s="383">
        <f>H107+(I95/J95)*(I107-H107)+(POWER(-1,$S$85-B108+1)/J95)*$T$87</f>
        <v>6.5170352697897336</v>
      </c>
      <c r="E108" s="383">
        <f t="shared" si="35"/>
        <v>-30.249940167536835</v>
      </c>
      <c r="F108" s="386" t="s">
        <v>457</v>
      </c>
      <c r="G108" s="383">
        <f t="shared" si="36"/>
        <v>-30.249709799583187</v>
      </c>
      <c r="H108" s="383">
        <v>6.452019223767401</v>
      </c>
      <c r="I108" s="387">
        <v>6.5170352697897336</v>
      </c>
    </row>
    <row r="109" spans="2:15" x14ac:dyDescent="0.3">
      <c r="B109" s="399">
        <v>11</v>
      </c>
      <c r="C109" s="396">
        <f>H108+(G95/I95)*(I108-H108)-(POWER(-1,$S$85-B109+1)/I95)*$T$87</f>
        <v>6.4767872433735132</v>
      </c>
      <c r="D109" s="383">
        <v>6.4922648553237803</v>
      </c>
      <c r="E109" s="383">
        <f t="shared" si="35"/>
        <v>-30.249461167929802</v>
      </c>
      <c r="F109" s="386" t="s">
        <v>455</v>
      </c>
      <c r="G109" s="383">
        <f t="shared" si="36"/>
        <v>-30.249940167536835</v>
      </c>
      <c r="H109" s="383">
        <v>6.4767872433735132</v>
      </c>
      <c r="I109" s="387">
        <v>6.5170352697897336</v>
      </c>
    </row>
    <row r="110" spans="2:15" x14ac:dyDescent="0.3">
      <c r="B110" s="399">
        <v>12</v>
      </c>
      <c r="C110" s="396">
        <f>D109</f>
        <v>6.4922648553237803</v>
      </c>
      <c r="D110" s="383">
        <f>H109+(G95/H95)*(I109-H109)+(POWER(-1,$S$85-B110+1)/H95)*$T$87</f>
        <v>6.5015552629796263</v>
      </c>
      <c r="E110" s="383">
        <f t="shared" si="35"/>
        <v>-30.249940167536835</v>
      </c>
      <c r="F110" s="386" t="s">
        <v>455</v>
      </c>
      <c r="G110" s="383">
        <f t="shared" si="36"/>
        <v>-30.249997581157061</v>
      </c>
      <c r="H110" s="383">
        <v>6.4922648553237803</v>
      </c>
      <c r="I110" s="387">
        <v>6.5170352697897336</v>
      </c>
    </row>
    <row r="111" spans="2:15" x14ac:dyDescent="0.3">
      <c r="B111" s="399">
        <v>13</v>
      </c>
      <c r="C111" s="396">
        <f>D110</f>
        <v>6.5015552629796263</v>
      </c>
      <c r="D111" s="383">
        <f>H110+(F95/G95)*(I110-H110)+(POWER(-1,$S$85-B111+1)/G95)*$T$87</f>
        <v>6.5077462990497921</v>
      </c>
      <c r="E111" s="383">
        <f t="shared" si="35"/>
        <v>-30.249997581157061</v>
      </c>
      <c r="F111" s="386" t="str">
        <f>IF(E111&gt;G111, "&gt;", "&lt;=")</f>
        <v>&lt;=</v>
      </c>
      <c r="G111" s="383">
        <f t="shared" si="36"/>
        <v>-30.249939994851026</v>
      </c>
      <c r="H111" s="383">
        <v>6.4922648553237803</v>
      </c>
      <c r="I111" s="387">
        <v>6.5077462990497921</v>
      </c>
    </row>
    <row r="112" spans="2:15" x14ac:dyDescent="0.3">
      <c r="B112" s="399">
        <v>14</v>
      </c>
      <c r="C112" s="396">
        <f>H111+(D95/F95)*(I111-H111)-(POWER(-1,$S$85-B112+1)/I95)*$T$87</f>
        <v>6.4976634885067224</v>
      </c>
      <c r="D112" s="383">
        <v>6.5015552629796263</v>
      </c>
      <c r="E112" s="383">
        <f t="shared" si="35"/>
        <v>-30.249994540714042</v>
      </c>
      <c r="F112" s="386" t="str">
        <f t="shared" ref="F112:F113" si="37">IF(E112&gt;G112, "&gt;", "&lt;=")</f>
        <v>&gt;</v>
      </c>
      <c r="G112" s="383">
        <f t="shared" si="36"/>
        <v>-30.249997581157061</v>
      </c>
      <c r="H112" s="383">
        <v>6.4976634885067224</v>
      </c>
      <c r="I112" s="387">
        <v>6.5077462990497921</v>
      </c>
    </row>
    <row r="113" spans="2:15" ht="15" thickBot="1" x14ac:dyDescent="0.35">
      <c r="B113" s="400">
        <v>15</v>
      </c>
      <c r="C113" s="397">
        <f>D112</f>
        <v>6.5015552629796263</v>
      </c>
      <c r="D113" s="388">
        <f>H112+(D95/E95)*(I112-H112)+(POWER(-1,$S$85-B113+1)/E95)*$T$87</f>
        <v>6.5042528813943559</v>
      </c>
      <c r="E113" s="388">
        <f t="shared" si="35"/>
        <v>-30.249997581157061</v>
      </c>
      <c r="F113" s="389" t="str">
        <f t="shared" si="37"/>
        <v>&lt;=</v>
      </c>
      <c r="G113" s="388">
        <f t="shared" si="36"/>
        <v>-30.24998191299985</v>
      </c>
      <c r="H113" s="388">
        <v>6.4976634885067224</v>
      </c>
      <c r="I113" s="390">
        <v>6.5042528813943559</v>
      </c>
    </row>
    <row r="114" spans="2:15" x14ac:dyDescent="0.3"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</row>
    <row r="115" spans="2:15" x14ac:dyDescent="0.3">
      <c r="B115" s="278" t="s">
        <v>476</v>
      </c>
      <c r="C115" s="279"/>
      <c r="D115" s="279"/>
      <c r="E115" s="279"/>
      <c r="F115" s="279"/>
      <c r="G115" s="279"/>
      <c r="H115" s="280"/>
      <c r="I115" s="228"/>
      <c r="J115" s="228"/>
      <c r="K115" s="228"/>
      <c r="L115" s="228"/>
      <c r="M115" s="228"/>
    </row>
    <row r="117" spans="2:15" x14ac:dyDescent="0.3">
      <c r="B117" s="228"/>
      <c r="C117" s="228"/>
      <c r="D117" s="228"/>
      <c r="E117" s="228"/>
      <c r="F117" s="228"/>
      <c r="G117" s="228"/>
      <c r="H117" s="228"/>
      <c r="I117" s="227" t="s">
        <v>446</v>
      </c>
      <c r="J117" s="228"/>
      <c r="K117" s="227" t="s">
        <v>434</v>
      </c>
      <c r="L117" s="228"/>
      <c r="M117" s="227" t="s">
        <v>477</v>
      </c>
      <c r="O117" s="227" t="s">
        <v>478</v>
      </c>
    </row>
    <row r="118" spans="2:15" x14ac:dyDescent="0.3">
      <c r="I118" s="365">
        <v>0</v>
      </c>
      <c r="K118" s="365">
        <v>8</v>
      </c>
      <c r="M118" s="365">
        <f>(3-POWER(5,0.5))/2</f>
        <v>0.3819660112501051</v>
      </c>
      <c r="O118" s="365">
        <f>(POWER(5,0.5)-1)/2</f>
        <v>0.6180339887498949</v>
      </c>
    </row>
    <row r="124" spans="2:15" ht="15" thickBot="1" x14ac:dyDescent="0.35"/>
    <row r="125" spans="2:15" ht="15" thickBot="1" x14ac:dyDescent="0.35">
      <c r="B125" s="398" t="s">
        <v>469</v>
      </c>
      <c r="C125" s="394" t="s">
        <v>450</v>
      </c>
      <c r="D125" s="339" t="s">
        <v>451</v>
      </c>
      <c r="E125" s="339" t="s">
        <v>452</v>
      </c>
      <c r="F125" s="339" t="s">
        <v>453</v>
      </c>
      <c r="G125" s="339" t="s">
        <v>454</v>
      </c>
      <c r="H125" s="339" t="s">
        <v>433</v>
      </c>
      <c r="I125" s="393" t="s">
        <v>434</v>
      </c>
    </row>
    <row r="126" spans="2:15" x14ac:dyDescent="0.3">
      <c r="B126" s="399">
        <v>0</v>
      </c>
      <c r="C126" s="210" t="s">
        <v>456</v>
      </c>
      <c r="D126" s="12" t="s">
        <v>456</v>
      </c>
      <c r="E126" s="12" t="s">
        <v>456</v>
      </c>
      <c r="F126" s="12" t="s">
        <v>456</v>
      </c>
      <c r="G126" s="12" t="s">
        <v>456</v>
      </c>
      <c r="H126" s="213">
        <v>0</v>
      </c>
      <c r="I126" s="375">
        <v>8</v>
      </c>
      <c r="K126" s="372" t="s">
        <v>472</v>
      </c>
      <c r="L126" s="391">
        <f>H141</f>
        <v>6.498101049449005</v>
      </c>
    </row>
    <row r="127" spans="2:15" x14ac:dyDescent="0.3">
      <c r="B127" s="399">
        <v>1</v>
      </c>
      <c r="C127" s="404">
        <f>H126+M118*(I126-H126)</f>
        <v>3.0557280900008408</v>
      </c>
      <c r="D127" s="213">
        <f>H126+O118*(I126-H126)</f>
        <v>4.9442719099991592</v>
      </c>
      <c r="E127" s="213">
        <f>C127*C127-13*C127+12</f>
        <v>-18.386991009990744</v>
      </c>
      <c r="F127" s="213" t="str">
        <f>IF(E127&gt;G127, "&gt;", "&lt;=")</f>
        <v>&gt;</v>
      </c>
      <c r="G127" s="213">
        <f>D127*D127-13*D127+12</f>
        <v>-27.829710109982337</v>
      </c>
      <c r="H127" s="213">
        <f>C127</f>
        <v>3.0557280900008408</v>
      </c>
      <c r="I127" s="375">
        <f>I126</f>
        <v>8</v>
      </c>
      <c r="K127" s="373" t="s">
        <v>473</v>
      </c>
      <c r="L127" s="392">
        <f>I141</f>
        <v>6.5039661489358638</v>
      </c>
    </row>
    <row r="128" spans="2:15" x14ac:dyDescent="0.3">
      <c r="B128" s="399">
        <v>2</v>
      </c>
      <c r="C128" s="404">
        <f>IF($E127&lt;=$G127,H127+M118*($I127-$H127),$D127)</f>
        <v>4.9442719099991592</v>
      </c>
      <c r="D128" s="213">
        <f>IF($E127&lt;=$G127,$C127,$H127+O118*($I127-H127))</f>
        <v>6.1114561800016824</v>
      </c>
      <c r="E128" s="213">
        <f t="shared" ref="E128:E141" si="38">C128*C128-13*C128+12</f>
        <v>-27.829710109982337</v>
      </c>
      <c r="F128" s="213" t="str">
        <f t="shared" ref="F128:F141" si="39">IF(E128&gt;G128, "&gt;", "&lt;=")</f>
        <v>&gt;</v>
      </c>
      <c r="G128" s="213">
        <f t="shared" ref="G128:G141" si="40">D128*D128-13*D128+12</f>
        <v>-30.099033699941117</v>
      </c>
      <c r="H128" s="213">
        <v>4.9442719099991592</v>
      </c>
      <c r="I128" s="375">
        <f>I127</f>
        <v>8</v>
      </c>
      <c r="K128" s="373" t="s">
        <v>474</v>
      </c>
      <c r="L128" s="406">
        <f>L126*L126-13*L126+12</f>
        <v>-30.249996393986805</v>
      </c>
    </row>
    <row r="129" spans="2:17" x14ac:dyDescent="0.3">
      <c r="B129" s="399">
        <v>3</v>
      </c>
      <c r="C129" s="404">
        <f>IF($E128&lt;=$G128,H128+M118*($I128-$H128),$D128)</f>
        <v>6.1114561800016824</v>
      </c>
      <c r="D129" s="213">
        <f>IF($E128&lt;=$G128,$C128,$H128+O118*($I128-H128))</f>
        <v>6.8328157299974768</v>
      </c>
      <c r="E129" s="213">
        <f t="shared" si="38"/>
        <v>-30.099033699941117</v>
      </c>
      <c r="F129" s="213" t="str">
        <f t="shared" si="39"/>
        <v>&gt;</v>
      </c>
      <c r="G129" s="213">
        <f t="shared" si="40"/>
        <v>-30.139233689866245</v>
      </c>
      <c r="H129" s="213">
        <v>6.1114561800016824</v>
      </c>
      <c r="I129" s="375">
        <f>I128</f>
        <v>8</v>
      </c>
      <c r="K129" s="373" t="s">
        <v>475</v>
      </c>
      <c r="L129" s="377">
        <f>L127*L127-13*L127+12</f>
        <v>-30.249984269662619</v>
      </c>
    </row>
    <row r="130" spans="2:17" x14ac:dyDescent="0.3">
      <c r="B130" s="399">
        <v>4</v>
      </c>
      <c r="C130" s="404">
        <f>IF($E129&lt;=$G129,H129+M118*($I129-$H129),$D129)</f>
        <v>6.8328157299974768</v>
      </c>
      <c r="D130" s="213">
        <f>IF($E129&lt;=$G129,$C129,$H129+O118*($I129-H129))</f>
        <v>7.2786404500042057</v>
      </c>
      <c r="E130" s="213">
        <f t="shared" si="38"/>
        <v>-30.139233689866245</v>
      </c>
      <c r="F130" s="213" t="str">
        <f t="shared" si="39"/>
        <v>&lt;=</v>
      </c>
      <c r="G130" s="213">
        <f t="shared" si="40"/>
        <v>-29.643719049617253</v>
      </c>
      <c r="H130" s="213">
        <v>6.1114561800016824</v>
      </c>
      <c r="I130" s="375">
        <v>7.2786404500042057</v>
      </c>
      <c r="K130" s="373" t="s">
        <v>479</v>
      </c>
      <c r="L130" s="392">
        <f>D140</f>
        <v>6.5017258802792837</v>
      </c>
    </row>
    <row r="131" spans="2:17" x14ac:dyDescent="0.3">
      <c r="B131" s="399">
        <v>5</v>
      </c>
      <c r="C131" s="404">
        <f>IF($E130&lt;=$G130,H130+M118*($I130-$H130),$D130)</f>
        <v>6.5572809000084122</v>
      </c>
      <c r="D131" s="213">
        <f>IF($E130&lt;=$G130,$C130,$H130+O118*($I130-H130))</f>
        <v>6.8328157299974768</v>
      </c>
      <c r="E131" s="213">
        <f t="shared" si="38"/>
        <v>-30.246718898494223</v>
      </c>
      <c r="F131" s="213" t="str">
        <f t="shared" si="39"/>
        <v>&lt;=</v>
      </c>
      <c r="G131" s="213">
        <f t="shared" si="40"/>
        <v>-30.139233689866245</v>
      </c>
      <c r="H131" s="213">
        <v>6.1114561800016824</v>
      </c>
      <c r="I131" s="375">
        <v>6.8328157299974768</v>
      </c>
      <c r="K131" s="373" t="s">
        <v>480</v>
      </c>
      <c r="L131" s="392">
        <f>C141</f>
        <v>6.5017258802792837</v>
      </c>
    </row>
    <row r="132" spans="2:17" x14ac:dyDescent="0.3">
      <c r="B132" s="399">
        <v>6</v>
      </c>
      <c r="C132" s="404">
        <f>IF($E131&lt;=$G131,H131+M118*($I131-$H131),$D131)</f>
        <v>6.386991009990747</v>
      </c>
      <c r="D132" s="213">
        <f>IF($E131&lt;=$G131,$C131,$H131+O118*($I131-H131))</f>
        <v>6.5572809000084122</v>
      </c>
      <c r="E132" s="213">
        <f t="shared" si="38"/>
        <v>-30.237228968177092</v>
      </c>
      <c r="F132" s="213" t="str">
        <f t="shared" si="39"/>
        <v>&gt;</v>
      </c>
      <c r="G132" s="213">
        <f t="shared" si="40"/>
        <v>-30.246718898494223</v>
      </c>
      <c r="H132" s="213">
        <v>6.386991009990747</v>
      </c>
      <c r="I132" s="375">
        <v>6.8328157299974768</v>
      </c>
      <c r="K132" s="401" t="s">
        <v>481</v>
      </c>
      <c r="L132" s="407">
        <f>L130*L130-13*L130+12</f>
        <v>-30.249997021337258</v>
      </c>
    </row>
    <row r="133" spans="2:17" ht="15" thickBot="1" x14ac:dyDescent="0.35">
      <c r="B133" s="399">
        <v>7</v>
      </c>
      <c r="C133" s="404">
        <f>IF($E132&lt;=$G132,H132+M118*($I132-$H132),$D132)</f>
        <v>6.5572809000084122</v>
      </c>
      <c r="D133" s="213">
        <f>IF($E132&lt;=$G132,$C132,$H132+O118*($I132-H132))</f>
        <v>6.6625258399798115</v>
      </c>
      <c r="E133" s="213">
        <f t="shared" si="38"/>
        <v>-30.246718898494223</v>
      </c>
      <c r="F133" s="213" t="str">
        <f t="shared" si="39"/>
        <v>&lt;=</v>
      </c>
      <c r="G133" s="213">
        <f t="shared" si="40"/>
        <v>-30.223585351338855</v>
      </c>
      <c r="H133" s="213">
        <v>6.386991009990747</v>
      </c>
      <c r="I133" s="375">
        <v>6.6625258399798115</v>
      </c>
      <c r="K133" s="374" t="s">
        <v>482</v>
      </c>
      <c r="L133" s="378">
        <f>L131*L131-13*L131+12</f>
        <v>-30.249997021337258</v>
      </c>
    </row>
    <row r="134" spans="2:17" x14ac:dyDescent="0.3">
      <c r="B134" s="399">
        <v>8</v>
      </c>
      <c r="C134" s="404">
        <f>IF($E133&lt;=$G133,H133+M118*($I133-$H133),$D133)</f>
        <v>6.4922359499621454</v>
      </c>
      <c r="D134" s="213">
        <f>IF($E133&lt;=$G133,$C133,$H133+O118*($I133-H133))</f>
        <v>6.5572809000084122</v>
      </c>
      <c r="E134" s="213">
        <f t="shared" si="38"/>
        <v>-30.249939719527006</v>
      </c>
      <c r="F134" s="213" t="str">
        <f t="shared" si="39"/>
        <v>&lt;=</v>
      </c>
      <c r="G134" s="213">
        <f t="shared" si="40"/>
        <v>-30.246718898494223</v>
      </c>
      <c r="H134" s="213">
        <v>6.386991009990747</v>
      </c>
      <c r="I134" s="375">
        <v>6.5572809000084122</v>
      </c>
      <c r="K134" s="209"/>
      <c r="L134" s="209"/>
      <c r="M134" s="209"/>
      <c r="N134" s="209"/>
      <c r="O134" s="209"/>
      <c r="P134" s="209"/>
      <c r="Q134" s="209"/>
    </row>
    <row r="135" spans="2:17" x14ac:dyDescent="0.3">
      <c r="B135" s="399">
        <v>9</v>
      </c>
      <c r="C135" s="404">
        <f>IF($E134&lt;=$G134,H134+M118*($I134-$H134),$D134)</f>
        <v>6.4520359600370139</v>
      </c>
      <c r="D135" s="213">
        <f>IF($E134&lt;=$G134,$C134,$H134+O118*($I134-H134))</f>
        <v>6.4922359499621454</v>
      </c>
      <c r="E135" s="213">
        <f t="shared" si="38"/>
        <v>-30.247699450870428</v>
      </c>
      <c r="F135" s="213" t="str">
        <f t="shared" si="39"/>
        <v>&gt;</v>
      </c>
      <c r="G135" s="213">
        <f t="shared" si="40"/>
        <v>-30.249939719527006</v>
      </c>
      <c r="H135" s="213">
        <v>6.4520359600370139</v>
      </c>
      <c r="I135" s="375">
        <v>6.5572809000084122</v>
      </c>
    </row>
    <row r="136" spans="2:17" x14ac:dyDescent="0.3">
      <c r="B136" s="399">
        <v>10</v>
      </c>
      <c r="C136" s="404">
        <f>IF($E135&lt;=$G135,H135+M118*($I135-$H135),$D135)</f>
        <v>6.4922359499621454</v>
      </c>
      <c r="D136" s="213">
        <f>IF($E135&lt;=$G135,$C135,$H135+O118*($I135-H135))</f>
        <v>6.5170809100832807</v>
      </c>
      <c r="E136" s="213">
        <f t="shared" si="38"/>
        <v>-30.249939719527006</v>
      </c>
      <c r="F136" s="213" t="str">
        <f t="shared" si="39"/>
        <v>&lt;=</v>
      </c>
      <c r="G136" s="213">
        <f t="shared" si="40"/>
        <v>-30.249708242510728</v>
      </c>
      <c r="H136" s="213">
        <v>6.4520359600370139</v>
      </c>
      <c r="I136" s="375">
        <v>6.5170809100832807</v>
      </c>
    </row>
    <row r="137" spans="2:17" x14ac:dyDescent="0.3">
      <c r="B137" s="399">
        <v>11</v>
      </c>
      <c r="C137" s="404">
        <f>IF($E136&lt;=$G136,H136+M118*($I136-$H136),$D136)</f>
        <v>6.4768809201581483</v>
      </c>
      <c r="D137" s="213">
        <f>IF($E136&lt;=$G136,$C136,$H136+O118*($I136-H136))</f>
        <v>6.4922359499621454</v>
      </c>
      <c r="E137" s="213">
        <f t="shared" si="38"/>
        <v>-30.249465508147267</v>
      </c>
      <c r="F137" s="213" t="str">
        <f t="shared" si="39"/>
        <v>&gt;</v>
      </c>
      <c r="G137" s="213">
        <f t="shared" si="40"/>
        <v>-30.249939719527006</v>
      </c>
      <c r="H137" s="213">
        <v>6.4768809201581483</v>
      </c>
      <c r="I137" s="375">
        <v>6.5170809100832807</v>
      </c>
    </row>
    <row r="138" spans="2:17" x14ac:dyDescent="0.3">
      <c r="B138" s="399">
        <v>12</v>
      </c>
      <c r="C138" s="404">
        <f>IF($E137&lt;=$G137,H137+M118*($I137-$H137),$D137)</f>
        <v>6.4922359499621454</v>
      </c>
      <c r="D138" s="213">
        <f>IF($E137&lt;=$G137,$C137,$H137+O118*($I137-H137))</f>
        <v>6.5017258802792837</v>
      </c>
      <c r="E138" s="213">
        <f t="shared" si="38"/>
        <v>-30.249939719527006</v>
      </c>
      <c r="F138" s="213" t="str">
        <f t="shared" si="39"/>
        <v>&gt;</v>
      </c>
      <c r="G138" s="213">
        <f t="shared" si="40"/>
        <v>-30.249997021337258</v>
      </c>
      <c r="H138" s="213">
        <v>6.4922359499621454</v>
      </c>
      <c r="I138" s="375">
        <v>6.5170809100832807</v>
      </c>
    </row>
    <row r="139" spans="2:17" x14ac:dyDescent="0.3">
      <c r="B139" s="399">
        <v>13</v>
      </c>
      <c r="C139" s="404">
        <f>IF($E138&lt;=$G138,H138+M118*($I138-$H138),$D138)</f>
        <v>6.5017258802792837</v>
      </c>
      <c r="D139" s="213">
        <f>IF($E138&lt;=$G138,$C138,$H138+O118*($I138-H138))</f>
        <v>6.5075909797661424</v>
      </c>
      <c r="E139" s="213">
        <f t="shared" si="38"/>
        <v>-30.249997021337258</v>
      </c>
      <c r="F139" s="213" t="str">
        <f t="shared" si="39"/>
        <v>&lt;=</v>
      </c>
      <c r="G139" s="213">
        <f t="shared" si="40"/>
        <v>-30.249942377026194</v>
      </c>
      <c r="H139" s="213">
        <v>6.4922359499621454</v>
      </c>
      <c r="I139" s="375">
        <v>6.5075909797661424</v>
      </c>
    </row>
    <row r="140" spans="2:17" x14ac:dyDescent="0.3">
      <c r="B140" s="399">
        <v>14</v>
      </c>
      <c r="C140" s="404">
        <f>IF($E139&lt;=$G139,H139+M118*($I139-$H139),$D139)</f>
        <v>6.498101049449005</v>
      </c>
      <c r="D140" s="213">
        <f>IF($E139&lt;=$G139,$C139,$H139+O118*($I139-H139))</f>
        <v>6.5017258802792837</v>
      </c>
      <c r="E140" s="213">
        <f t="shared" si="38"/>
        <v>-30.249996393986805</v>
      </c>
      <c r="F140" s="213" t="str">
        <f t="shared" si="39"/>
        <v>&gt;</v>
      </c>
      <c r="G140" s="213">
        <f t="shared" si="40"/>
        <v>-30.249997021337258</v>
      </c>
      <c r="H140" s="213">
        <v>6.498101049449005</v>
      </c>
      <c r="I140" s="375">
        <v>6.5075909797661424</v>
      </c>
    </row>
    <row r="141" spans="2:17" ht="15" thickBot="1" x14ac:dyDescent="0.35">
      <c r="B141" s="400">
        <v>15</v>
      </c>
      <c r="C141" s="405">
        <f>IF($E140&lt;=$G140,H140+M118*($I140-$H140),$D140)</f>
        <v>6.5017258802792837</v>
      </c>
      <c r="D141" s="403">
        <f>IF($E140&lt;=$G140,$C140,$H140+O118*($I140-H140))</f>
        <v>6.5039661489358638</v>
      </c>
      <c r="E141" s="403">
        <f t="shared" si="38"/>
        <v>-30.249997021337258</v>
      </c>
      <c r="F141" s="403" t="str">
        <f t="shared" si="39"/>
        <v>&lt;=</v>
      </c>
      <c r="G141" s="403">
        <f t="shared" si="40"/>
        <v>-30.249984269662619</v>
      </c>
      <c r="H141" s="403">
        <v>6.498101049449005</v>
      </c>
      <c r="I141" s="376">
        <v>6.5039661489358638</v>
      </c>
    </row>
    <row r="142" spans="2:17" x14ac:dyDescent="0.3"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</row>
    <row r="143" spans="2:17" x14ac:dyDescent="0.3"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</row>
    <row r="144" spans="2:17" x14ac:dyDescent="0.3">
      <c r="B144" s="278" t="s">
        <v>499</v>
      </c>
      <c r="C144" s="279"/>
      <c r="D144" s="279"/>
      <c r="E144" s="279"/>
      <c r="F144" s="279"/>
      <c r="G144" s="279"/>
      <c r="H144" s="280"/>
      <c r="I144" s="159"/>
      <c r="J144" s="228"/>
      <c r="K144" s="228"/>
      <c r="L144" s="228"/>
      <c r="M144" s="228"/>
    </row>
    <row r="145" spans="2:13" ht="15" thickBot="1" x14ac:dyDescent="0.35"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</row>
    <row r="146" spans="2:13" ht="15" thickBot="1" x14ac:dyDescent="0.35">
      <c r="B146" s="228"/>
      <c r="C146" s="228"/>
      <c r="D146" s="467" t="s">
        <v>503</v>
      </c>
      <c r="E146" s="468" t="s">
        <v>504</v>
      </c>
      <c r="F146" s="468" t="s">
        <v>433</v>
      </c>
      <c r="G146" s="469" t="s">
        <v>434</v>
      </c>
      <c r="H146" s="469" t="s">
        <v>492</v>
      </c>
      <c r="I146" s="228"/>
      <c r="J146" s="228"/>
      <c r="K146" s="228"/>
      <c r="L146" s="228"/>
      <c r="M146" s="228"/>
    </row>
    <row r="147" spans="2:13" x14ac:dyDescent="0.3">
      <c r="B147" s="461" t="s">
        <v>505</v>
      </c>
      <c r="C147" s="464"/>
      <c r="D147" s="173">
        <v>6.5172839506172835</v>
      </c>
      <c r="E147" s="174">
        <v>-30.249701265051058</v>
      </c>
      <c r="F147" s="460">
        <v>6.5185185185185182</v>
      </c>
      <c r="G147" s="460">
        <v>6.6172839506172831</v>
      </c>
      <c r="H147" s="370">
        <f>G147-F147</f>
        <v>9.8765432098764983E-2</v>
      </c>
      <c r="I147" s="132"/>
      <c r="J147" s="228"/>
      <c r="K147" s="228"/>
      <c r="L147" s="228"/>
      <c r="M147" s="228"/>
    </row>
    <row r="148" spans="2:13" x14ac:dyDescent="0.3">
      <c r="B148" s="462" t="s">
        <v>506</v>
      </c>
      <c r="C148" s="465"/>
      <c r="D148" s="459">
        <v>6.5185185185185182</v>
      </c>
      <c r="E148" s="331">
        <v>-30.249657064471876</v>
      </c>
      <c r="F148" s="331">
        <v>6.4691358024691352</v>
      </c>
      <c r="G148" s="331">
        <v>6.5679012345679002</v>
      </c>
      <c r="H148" s="371">
        <f t="shared" ref="H148:H151" si="41">G148-F148</f>
        <v>9.8765432098764983E-2</v>
      </c>
      <c r="I148" s="130"/>
      <c r="J148" s="130"/>
      <c r="K148" s="228"/>
      <c r="L148" s="228"/>
      <c r="M148" s="228"/>
    </row>
    <row r="149" spans="2:13" x14ac:dyDescent="0.3">
      <c r="B149" s="462" t="s">
        <v>500</v>
      </c>
      <c r="C149" s="465"/>
      <c r="D149" s="459">
        <v>6.48046875</v>
      </c>
      <c r="E149" s="331">
        <v>-30.249618530273438</v>
      </c>
      <c r="F149" s="331">
        <v>6.4496093750000005</v>
      </c>
      <c r="G149" s="331">
        <v>6.5804687499999996</v>
      </c>
      <c r="H149" s="371">
        <f t="shared" si="41"/>
        <v>0.13085937499999911</v>
      </c>
      <c r="I149" s="228"/>
      <c r="J149" s="130"/>
      <c r="K149" s="228"/>
      <c r="L149" s="228"/>
      <c r="M149" s="228"/>
    </row>
    <row r="150" spans="2:13" x14ac:dyDescent="0.3">
      <c r="B150" s="462" t="s">
        <v>501</v>
      </c>
      <c r="C150" s="465"/>
      <c r="D150" s="459">
        <v>6.4976634885067224</v>
      </c>
      <c r="E150" s="331">
        <v>-30.249994540714042</v>
      </c>
      <c r="F150" s="331">
        <v>6.4976634885067224</v>
      </c>
      <c r="G150" s="331">
        <v>6.5042528813943559</v>
      </c>
      <c r="H150" s="371">
        <f t="shared" si="41"/>
        <v>6.589392887633494E-3</v>
      </c>
      <c r="I150" s="228"/>
      <c r="J150" s="228"/>
      <c r="K150" s="228"/>
      <c r="L150" s="228"/>
      <c r="M150" s="228"/>
    </row>
    <row r="151" spans="2:13" ht="15" thickBot="1" x14ac:dyDescent="0.35">
      <c r="B151" s="463" t="s">
        <v>502</v>
      </c>
      <c r="C151" s="466"/>
      <c r="D151" s="332">
        <v>6.5017258802792837</v>
      </c>
      <c r="E151" s="333">
        <v>-30.249997021337258</v>
      </c>
      <c r="F151" s="333">
        <v>6.498101049449005</v>
      </c>
      <c r="G151" s="333">
        <v>6.5039661489358638</v>
      </c>
      <c r="H151" s="470">
        <f t="shared" si="41"/>
        <v>5.8650994868587603E-3</v>
      </c>
      <c r="I151" s="228"/>
      <c r="J151" s="228"/>
      <c r="K151" s="228"/>
      <c r="L151" s="228"/>
      <c r="M151" s="228"/>
    </row>
    <row r="152" spans="2:13" ht="14.4" customHeight="1" x14ac:dyDescent="0.3">
      <c r="I152" s="228"/>
      <c r="J152" s="228"/>
      <c r="K152" s="228"/>
      <c r="L152" s="228"/>
      <c r="M152" s="228"/>
    </row>
    <row r="153" spans="2:13" ht="15" customHeight="1" x14ac:dyDescent="0.3">
      <c r="I153" s="228"/>
      <c r="J153" s="228"/>
      <c r="K153" s="228"/>
      <c r="L153" s="228"/>
      <c r="M153" s="228"/>
    </row>
    <row r="154" spans="2:13" ht="15" customHeight="1" x14ac:dyDescent="0.3">
      <c r="I154" s="228"/>
      <c r="J154" s="228"/>
      <c r="K154" s="228"/>
      <c r="L154" s="228"/>
      <c r="M154" s="228"/>
    </row>
    <row r="155" spans="2:13" ht="14.4" customHeight="1" x14ac:dyDescent="0.3">
      <c r="I155" s="228"/>
      <c r="J155" s="228"/>
      <c r="K155" s="228"/>
      <c r="L155" s="228"/>
      <c r="M155" s="228"/>
    </row>
    <row r="156" spans="2:13" x14ac:dyDescent="0.3">
      <c r="I156" s="228"/>
      <c r="J156" s="228"/>
      <c r="K156" s="228"/>
      <c r="L156" s="228"/>
      <c r="M156" s="228"/>
    </row>
    <row r="157" spans="2:13" x14ac:dyDescent="0.3"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</row>
    <row r="158" spans="2:13" x14ac:dyDescent="0.3"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</row>
    <row r="159" spans="2:13" x14ac:dyDescent="0.3"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</row>
    <row r="160" spans="2:13" x14ac:dyDescent="0.3"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</row>
    <row r="161" spans="2:13" x14ac:dyDescent="0.3"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</row>
    <row r="162" spans="2:13" x14ac:dyDescent="0.3"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</row>
    <row r="163" spans="2:13" x14ac:dyDescent="0.3"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</row>
    <row r="164" spans="2:13" x14ac:dyDescent="0.3"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</row>
    <row r="165" spans="2:13" x14ac:dyDescent="0.3"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</row>
    <row r="166" spans="2:13" x14ac:dyDescent="0.3"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</row>
    <row r="167" spans="2:13" x14ac:dyDescent="0.3"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</row>
    <row r="168" spans="2:13" x14ac:dyDescent="0.3"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</row>
    <row r="169" spans="2:13" x14ac:dyDescent="0.3"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</row>
    <row r="170" spans="2:13" x14ac:dyDescent="0.3"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</row>
    <row r="171" spans="2:13" x14ac:dyDescent="0.3"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</row>
    <row r="172" spans="2:13" x14ac:dyDescent="0.3"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</row>
    <row r="173" spans="2:13" x14ac:dyDescent="0.3"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</row>
    <row r="174" spans="2:13" x14ac:dyDescent="0.3"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</row>
    <row r="175" spans="2:13" x14ac:dyDescent="0.3"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</row>
    <row r="176" spans="2:13" x14ac:dyDescent="0.3"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</row>
    <row r="177" spans="2:13" x14ac:dyDescent="0.3"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</row>
    <row r="178" spans="2:13" x14ac:dyDescent="0.3"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</row>
    <row r="179" spans="2:13" x14ac:dyDescent="0.3"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</row>
    <row r="180" spans="2:13" x14ac:dyDescent="0.3"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</row>
    <row r="181" spans="2:13" x14ac:dyDescent="0.3"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</row>
    <row r="182" spans="2:13" x14ac:dyDescent="0.3"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</row>
    <row r="183" spans="2:13" x14ac:dyDescent="0.3"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</row>
    <row r="184" spans="2:13" x14ac:dyDescent="0.3"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</row>
    <row r="185" spans="2:13" x14ac:dyDescent="0.3"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</row>
    <row r="186" spans="2:13" x14ac:dyDescent="0.3"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</row>
    <row r="187" spans="2:13" x14ac:dyDescent="0.3"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</row>
    <row r="188" spans="2:13" x14ac:dyDescent="0.3"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</row>
    <row r="189" spans="2:13" x14ac:dyDescent="0.3"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</row>
    <row r="190" spans="2:13" x14ac:dyDescent="0.3"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</row>
    <row r="191" spans="2:13" x14ac:dyDescent="0.3"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</row>
    <row r="192" spans="2:13" x14ac:dyDescent="0.3"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</row>
    <row r="193" spans="2:13" x14ac:dyDescent="0.3"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</row>
    <row r="194" spans="2:13" x14ac:dyDescent="0.3"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</row>
    <row r="195" spans="2:13" x14ac:dyDescent="0.3"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</row>
    <row r="196" spans="2:13" x14ac:dyDescent="0.3"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</row>
    <row r="197" spans="2:13" x14ac:dyDescent="0.3"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</row>
    <row r="198" spans="2:13" x14ac:dyDescent="0.3"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</row>
    <row r="199" spans="2:13" x14ac:dyDescent="0.3"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</row>
    <row r="200" spans="2:13" x14ac:dyDescent="0.3"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</row>
    <row r="201" spans="2:13" x14ac:dyDescent="0.3"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</row>
    <row r="202" spans="2:13" x14ac:dyDescent="0.3"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</row>
    <row r="203" spans="2:13" x14ac:dyDescent="0.3"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</row>
    <row r="204" spans="2:13" x14ac:dyDescent="0.3"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</row>
    <row r="205" spans="2:13" x14ac:dyDescent="0.3"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</row>
    <row r="206" spans="2:13" x14ac:dyDescent="0.3"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</row>
    <row r="207" spans="2:13" x14ac:dyDescent="0.3"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</row>
    <row r="208" spans="2:13" x14ac:dyDescent="0.3"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</row>
    <row r="209" spans="2:13" x14ac:dyDescent="0.3"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</row>
    <row r="210" spans="2:13" x14ac:dyDescent="0.3"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</row>
    <row r="211" spans="2:13" x14ac:dyDescent="0.3"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</row>
    <row r="212" spans="2:13" x14ac:dyDescent="0.3"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</row>
    <row r="213" spans="2:13" x14ac:dyDescent="0.3"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</row>
    <row r="214" spans="2:13" x14ac:dyDescent="0.3"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</row>
    <row r="215" spans="2:13" x14ac:dyDescent="0.3"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</row>
    <row r="216" spans="2:13" x14ac:dyDescent="0.3"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</row>
    <row r="217" spans="2:13" x14ac:dyDescent="0.3"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</row>
    <row r="218" spans="2:13" x14ac:dyDescent="0.3"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</row>
    <row r="219" spans="2:13" x14ac:dyDescent="0.3"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</row>
    <row r="220" spans="2:13" x14ac:dyDescent="0.3"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</row>
    <row r="221" spans="2:13" x14ac:dyDescent="0.3"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</row>
    <row r="222" spans="2:13" x14ac:dyDescent="0.3"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</row>
    <row r="223" spans="2:13" x14ac:dyDescent="0.3"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</row>
    <row r="224" spans="2:13" x14ac:dyDescent="0.3"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</row>
    <row r="225" spans="2:13" x14ac:dyDescent="0.3"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</row>
    <row r="226" spans="2:13" x14ac:dyDescent="0.3"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</row>
    <row r="227" spans="2:13" x14ac:dyDescent="0.3"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</row>
    <row r="228" spans="2:13" x14ac:dyDescent="0.3"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</row>
    <row r="229" spans="2:13" x14ac:dyDescent="0.3"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</row>
    <row r="230" spans="2:13" x14ac:dyDescent="0.3"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</row>
    <row r="231" spans="2:13" x14ac:dyDescent="0.3"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</row>
    <row r="232" spans="2:13" x14ac:dyDescent="0.3"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</row>
    <row r="233" spans="2:13" x14ac:dyDescent="0.3"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</row>
    <row r="234" spans="2:13" x14ac:dyDescent="0.3"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</row>
    <row r="235" spans="2:13" x14ac:dyDescent="0.3"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</row>
    <row r="236" spans="2:13" x14ac:dyDescent="0.3"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</row>
    <row r="237" spans="2:13" x14ac:dyDescent="0.3"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</row>
    <row r="238" spans="2:13" x14ac:dyDescent="0.3"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</row>
    <row r="239" spans="2:13" x14ac:dyDescent="0.3"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</row>
    <row r="240" spans="2:13" x14ac:dyDescent="0.3"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</row>
    <row r="241" spans="2:13" x14ac:dyDescent="0.3"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</row>
    <row r="242" spans="2:13" x14ac:dyDescent="0.3"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</row>
    <row r="243" spans="2:13" x14ac:dyDescent="0.3"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</row>
    <row r="244" spans="2:13" x14ac:dyDescent="0.3"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</row>
    <row r="245" spans="2:13" x14ac:dyDescent="0.3"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</row>
    <row r="246" spans="2:13" x14ac:dyDescent="0.3"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</row>
    <row r="247" spans="2:13" x14ac:dyDescent="0.3"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</row>
    <row r="248" spans="2:13" x14ac:dyDescent="0.3"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</row>
    <row r="249" spans="2:13" x14ac:dyDescent="0.3"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</row>
    <row r="250" spans="2:13" x14ac:dyDescent="0.3"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</row>
    <row r="251" spans="2:13" x14ac:dyDescent="0.3"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</row>
    <row r="252" spans="2:13" x14ac:dyDescent="0.3"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</row>
    <row r="253" spans="2:13" x14ac:dyDescent="0.3"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</row>
    <row r="254" spans="2:13" x14ac:dyDescent="0.3"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</row>
    <row r="255" spans="2:13" x14ac:dyDescent="0.3"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</row>
    <row r="256" spans="2:13" x14ac:dyDescent="0.3"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</row>
    <row r="257" spans="2:13" x14ac:dyDescent="0.3"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</row>
    <row r="258" spans="2:13" x14ac:dyDescent="0.3"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</row>
    <row r="259" spans="2:13" x14ac:dyDescent="0.3"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</row>
    <row r="260" spans="2:13" x14ac:dyDescent="0.3"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</row>
    <row r="261" spans="2:13" x14ac:dyDescent="0.3"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</row>
    <row r="262" spans="2:13" x14ac:dyDescent="0.3"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</row>
    <row r="263" spans="2:13" x14ac:dyDescent="0.3"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</row>
    <row r="264" spans="2:13" x14ac:dyDescent="0.3"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</row>
    <row r="265" spans="2:13" x14ac:dyDescent="0.3"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</row>
    <row r="266" spans="2:13" x14ac:dyDescent="0.3"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</row>
    <row r="267" spans="2:13" x14ac:dyDescent="0.3"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</row>
    <row r="268" spans="2:13" x14ac:dyDescent="0.3"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</row>
    <row r="269" spans="2:13" x14ac:dyDescent="0.3"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</row>
    <row r="270" spans="2:13" x14ac:dyDescent="0.3"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</row>
    <row r="271" spans="2:13" x14ac:dyDescent="0.3"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</row>
    <row r="272" spans="2:13" x14ac:dyDescent="0.3"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</row>
    <row r="273" spans="2:13" x14ac:dyDescent="0.3"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</row>
    <row r="274" spans="2:13" x14ac:dyDescent="0.3"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</row>
    <row r="275" spans="2:13" x14ac:dyDescent="0.3"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</row>
    <row r="276" spans="2:13" x14ac:dyDescent="0.3"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</row>
    <row r="277" spans="2:13" x14ac:dyDescent="0.3"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</row>
    <row r="278" spans="2:13" x14ac:dyDescent="0.3"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</row>
    <row r="279" spans="2:13" x14ac:dyDescent="0.3"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</row>
    <row r="280" spans="2:13" x14ac:dyDescent="0.3"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</row>
    <row r="281" spans="2:13" x14ac:dyDescent="0.3"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</row>
    <row r="282" spans="2:13" x14ac:dyDescent="0.3"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</row>
    <row r="283" spans="2:13" x14ac:dyDescent="0.3"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</row>
    <row r="284" spans="2:13" x14ac:dyDescent="0.3"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</row>
    <row r="285" spans="2:13" x14ac:dyDescent="0.3"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</row>
    <row r="286" spans="2:13" x14ac:dyDescent="0.3"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</row>
    <row r="287" spans="2:13" x14ac:dyDescent="0.3"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</row>
    <row r="288" spans="2:13" x14ac:dyDescent="0.3"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</row>
    <row r="289" spans="2:13" x14ac:dyDescent="0.3"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</row>
    <row r="290" spans="2:13" x14ac:dyDescent="0.3"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</row>
    <row r="291" spans="2:13" x14ac:dyDescent="0.3"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</row>
    <row r="292" spans="2:13" x14ac:dyDescent="0.3"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</row>
    <row r="293" spans="2:13" x14ac:dyDescent="0.3"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</row>
    <row r="294" spans="2:13" x14ac:dyDescent="0.3"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</row>
    <row r="295" spans="2:13" x14ac:dyDescent="0.3"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</row>
    <row r="296" spans="2:13" x14ac:dyDescent="0.3"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</row>
  </sheetData>
  <mergeCells count="21">
    <mergeCell ref="B149:C149"/>
    <mergeCell ref="B150:C150"/>
    <mergeCell ref="B151:C151"/>
    <mergeCell ref="B147:C147"/>
    <mergeCell ref="B148:C148"/>
    <mergeCell ref="B60:H60"/>
    <mergeCell ref="K76:O76"/>
    <mergeCell ref="B85:H85"/>
    <mergeCell ref="B115:H115"/>
    <mergeCell ref="B20:R20"/>
    <mergeCell ref="B35:F35"/>
    <mergeCell ref="B46:R46"/>
    <mergeCell ref="O19:X19"/>
    <mergeCell ref="B7:H7"/>
    <mergeCell ref="B9:C9"/>
    <mergeCell ref="D9:F9"/>
    <mergeCell ref="B11:R11"/>
    <mergeCell ref="B3:D3"/>
    <mergeCell ref="B4:D4"/>
    <mergeCell ref="B5:D5"/>
    <mergeCell ref="B144:H144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61FA-3162-4476-B0D3-678FA43D905E}">
  <dimension ref="B2:J49"/>
  <sheetViews>
    <sheetView topLeftCell="A29" workbookViewId="0">
      <selection activeCell="C49" sqref="C49"/>
    </sheetView>
  </sheetViews>
  <sheetFormatPr defaultRowHeight="14.4" x14ac:dyDescent="0.3"/>
  <sheetData>
    <row r="2" spans="2:10" x14ac:dyDescent="0.3">
      <c r="B2" s="269" t="s">
        <v>0</v>
      </c>
      <c r="C2" s="270"/>
      <c r="D2" s="271"/>
    </row>
    <row r="3" spans="2:10" x14ac:dyDescent="0.3">
      <c r="B3" s="272">
        <v>351004</v>
      </c>
      <c r="C3" s="264"/>
      <c r="D3" s="273"/>
    </row>
    <row r="4" spans="2:10" x14ac:dyDescent="0.3">
      <c r="B4" s="274" t="s">
        <v>1</v>
      </c>
      <c r="C4" s="275"/>
      <c r="D4" s="276"/>
    </row>
    <row r="6" spans="2:10" x14ac:dyDescent="0.3">
      <c r="B6" s="278" t="s">
        <v>483</v>
      </c>
      <c r="C6" s="279"/>
      <c r="D6" s="279"/>
      <c r="E6" s="279"/>
      <c r="F6" s="279"/>
      <c r="G6" s="279"/>
      <c r="H6" s="279"/>
      <c r="I6" s="280"/>
    </row>
    <row r="8" spans="2:10" x14ac:dyDescent="0.3">
      <c r="B8" s="226" t="s">
        <v>467</v>
      </c>
      <c r="C8" s="411" t="s">
        <v>484</v>
      </c>
      <c r="D8" s="223" t="s">
        <v>444</v>
      </c>
      <c r="E8" s="223">
        <v>1</v>
      </c>
      <c r="F8" s="223">
        <v>2</v>
      </c>
      <c r="G8" s="223">
        <v>3</v>
      </c>
      <c r="H8" s="223">
        <v>4</v>
      </c>
      <c r="I8" s="223">
        <v>5</v>
      </c>
    </row>
    <row r="9" spans="2:10" x14ac:dyDescent="0.3">
      <c r="B9" s="408">
        <v>22</v>
      </c>
      <c r="C9" s="412">
        <v>1350</v>
      </c>
      <c r="D9" s="415" t="s">
        <v>485</v>
      </c>
      <c r="E9" s="109">
        <v>5000</v>
      </c>
      <c r="F9" s="109">
        <v>7000</v>
      </c>
      <c r="G9" s="109">
        <v>2000</v>
      </c>
      <c r="H9" s="109">
        <v>200</v>
      </c>
      <c r="I9" s="109">
        <v>800</v>
      </c>
    </row>
    <row r="10" spans="2:10" x14ac:dyDescent="0.3">
      <c r="B10" s="409"/>
      <c r="C10" s="413"/>
      <c r="D10" s="415" t="s">
        <v>468</v>
      </c>
      <c r="E10" s="109">
        <v>6</v>
      </c>
      <c r="F10" s="109">
        <v>110</v>
      </c>
      <c r="G10" s="109">
        <v>7</v>
      </c>
      <c r="H10" s="109">
        <v>5</v>
      </c>
      <c r="I10" s="109">
        <v>4</v>
      </c>
    </row>
    <row r="11" spans="2:10" x14ac:dyDescent="0.3">
      <c r="B11" s="409"/>
      <c r="C11" s="413"/>
      <c r="D11" s="415" t="s">
        <v>486</v>
      </c>
      <c r="E11" s="109">
        <v>15</v>
      </c>
      <c r="F11" s="109">
        <v>8</v>
      </c>
      <c r="G11" s="109">
        <v>20</v>
      </c>
      <c r="H11" s="109">
        <v>4</v>
      </c>
      <c r="I11" s="109">
        <v>8</v>
      </c>
    </row>
    <row r="12" spans="2:10" x14ac:dyDescent="0.3">
      <c r="B12" s="410"/>
      <c r="C12" s="414"/>
      <c r="D12" s="415" t="s">
        <v>487</v>
      </c>
      <c r="E12" s="109">
        <v>10</v>
      </c>
      <c r="F12" s="109">
        <v>5</v>
      </c>
      <c r="G12" s="109">
        <v>2</v>
      </c>
      <c r="H12" s="109">
        <v>3</v>
      </c>
      <c r="I12" s="109">
        <v>4</v>
      </c>
    </row>
    <row r="13" spans="2:10" ht="15" thickBot="1" x14ac:dyDescent="0.35"/>
    <row r="14" spans="2:10" x14ac:dyDescent="0.3">
      <c r="B14" s="428" t="s">
        <v>444</v>
      </c>
      <c r="C14" s="394" t="s">
        <v>485</v>
      </c>
      <c r="D14" s="339" t="s">
        <v>468</v>
      </c>
      <c r="E14" s="339" t="s">
        <v>486</v>
      </c>
      <c r="F14" s="339" t="s">
        <v>487</v>
      </c>
      <c r="G14" s="417" t="s">
        <v>488</v>
      </c>
      <c r="H14" s="418" t="s">
        <v>489</v>
      </c>
      <c r="I14" s="418" t="s">
        <v>490</v>
      </c>
      <c r="J14" s="419" t="s">
        <v>491</v>
      </c>
    </row>
    <row r="15" spans="2:10" x14ac:dyDescent="0.3">
      <c r="B15" s="69">
        <v>1</v>
      </c>
      <c r="C15" s="427">
        <v>5000</v>
      </c>
      <c r="D15" s="365">
        <v>6</v>
      </c>
      <c r="E15" s="365">
        <v>15</v>
      </c>
      <c r="F15" s="365">
        <v>10</v>
      </c>
      <c r="G15" s="348">
        <f>ROUND(SQRT(2*D15*C15/E15), 0)</f>
        <v>63</v>
      </c>
      <c r="H15" s="416">
        <f>D15*C15/G15</f>
        <v>476.1904761904762</v>
      </c>
      <c r="I15" s="416">
        <f>E15*G15/2</f>
        <v>472.5</v>
      </c>
      <c r="J15" s="420">
        <f>F15*G15</f>
        <v>630</v>
      </c>
    </row>
    <row r="16" spans="2:10" x14ac:dyDescent="0.3">
      <c r="B16" s="69">
        <v>2</v>
      </c>
      <c r="C16" s="427">
        <v>7000</v>
      </c>
      <c r="D16" s="365">
        <v>110</v>
      </c>
      <c r="E16" s="365">
        <v>8</v>
      </c>
      <c r="F16" s="365">
        <v>5</v>
      </c>
      <c r="G16" s="348">
        <f t="shared" ref="G16:G19" si="0">ROUND(SQRT(2*D16*C16/E16), 0)</f>
        <v>439</v>
      </c>
      <c r="H16" s="416">
        <f>D16*C16/G16</f>
        <v>1753.9863325740318</v>
      </c>
      <c r="I16" s="416">
        <f t="shared" ref="I16:I19" si="1">E16*G16/2</f>
        <v>1756</v>
      </c>
      <c r="J16" s="420">
        <f t="shared" ref="J16:J19" si="2">F16*G16</f>
        <v>2195</v>
      </c>
    </row>
    <row r="17" spans="2:10" x14ac:dyDescent="0.3">
      <c r="B17" s="69">
        <v>3</v>
      </c>
      <c r="C17" s="427">
        <v>2000</v>
      </c>
      <c r="D17" s="365">
        <v>7</v>
      </c>
      <c r="E17" s="365">
        <v>20</v>
      </c>
      <c r="F17" s="365">
        <v>2</v>
      </c>
      <c r="G17" s="348">
        <f t="shared" si="0"/>
        <v>37</v>
      </c>
      <c r="H17" s="416">
        <f t="shared" ref="H17:H19" si="3">D17*C17/G17</f>
        <v>378.37837837837839</v>
      </c>
      <c r="I17" s="416">
        <f t="shared" si="1"/>
        <v>370</v>
      </c>
      <c r="J17" s="420">
        <f t="shared" si="2"/>
        <v>74</v>
      </c>
    </row>
    <row r="18" spans="2:10" x14ac:dyDescent="0.3">
      <c r="B18" s="69">
        <v>4</v>
      </c>
      <c r="C18" s="427">
        <v>200</v>
      </c>
      <c r="D18" s="365">
        <v>5</v>
      </c>
      <c r="E18" s="365">
        <v>4</v>
      </c>
      <c r="F18" s="365">
        <v>3</v>
      </c>
      <c r="G18" s="348">
        <f t="shared" si="0"/>
        <v>22</v>
      </c>
      <c r="H18" s="416">
        <f t="shared" si="3"/>
        <v>45.454545454545453</v>
      </c>
      <c r="I18" s="416">
        <f t="shared" si="1"/>
        <v>44</v>
      </c>
      <c r="J18" s="420">
        <f t="shared" si="2"/>
        <v>66</v>
      </c>
    </row>
    <row r="19" spans="2:10" ht="15" thickBot="1" x14ac:dyDescent="0.35">
      <c r="B19" s="71">
        <v>5</v>
      </c>
      <c r="C19" s="195">
        <v>800</v>
      </c>
      <c r="D19" s="196">
        <v>4</v>
      </c>
      <c r="E19" s="196">
        <v>8</v>
      </c>
      <c r="F19" s="196">
        <v>4</v>
      </c>
      <c r="G19" s="421">
        <f t="shared" si="0"/>
        <v>28</v>
      </c>
      <c r="H19" s="422">
        <f t="shared" si="3"/>
        <v>114.28571428571429</v>
      </c>
      <c r="I19" s="422">
        <f t="shared" si="1"/>
        <v>112</v>
      </c>
      <c r="J19" s="423">
        <f t="shared" si="2"/>
        <v>112</v>
      </c>
    </row>
    <row r="20" spans="2:10" ht="15" thickBot="1" x14ac:dyDescent="0.35">
      <c r="B20" s="60"/>
      <c r="C20" s="60"/>
      <c r="D20" s="60"/>
      <c r="E20" s="60"/>
      <c r="F20" s="60"/>
      <c r="G20" s="60"/>
      <c r="H20" s="424">
        <f>SUM(H15:H19)</f>
        <v>2768.2954468831463</v>
      </c>
      <c r="I20" s="425">
        <f>SUM(I15:I19)</f>
        <v>2754.5</v>
      </c>
      <c r="J20" s="426">
        <f>SUM(J15:J19)</f>
        <v>3077</v>
      </c>
    </row>
    <row r="21" spans="2:10" ht="15" thickBot="1" x14ac:dyDescent="0.35"/>
    <row r="22" spans="2:10" x14ac:dyDescent="0.3">
      <c r="B22" s="398" t="s">
        <v>492</v>
      </c>
      <c r="C22" s="430">
        <f>H20+I20</f>
        <v>5522.7954468831467</v>
      </c>
    </row>
    <row r="23" spans="2:10" ht="15" thickBot="1" x14ac:dyDescent="0.35">
      <c r="B23" s="432" t="s">
        <v>484</v>
      </c>
      <c r="C23" s="431">
        <f>J20</f>
        <v>3077</v>
      </c>
    </row>
    <row r="26" spans="2:10" ht="15" thickBot="1" x14ac:dyDescent="0.35"/>
    <row r="27" spans="2:10" x14ac:dyDescent="0.3">
      <c r="B27" s="429" t="s">
        <v>444</v>
      </c>
      <c r="C27" s="435" t="s">
        <v>485</v>
      </c>
      <c r="D27" s="351" t="s">
        <v>468</v>
      </c>
      <c r="E27" s="351" t="s">
        <v>486</v>
      </c>
      <c r="F27" s="351" t="s">
        <v>487</v>
      </c>
      <c r="G27" s="436" t="s">
        <v>488</v>
      </c>
      <c r="H27" s="437" t="s">
        <v>489</v>
      </c>
      <c r="I27" s="437" t="s">
        <v>490</v>
      </c>
      <c r="J27" s="438" t="s">
        <v>491</v>
      </c>
    </row>
    <row r="28" spans="2:10" x14ac:dyDescent="0.3">
      <c r="B28" s="433">
        <v>1</v>
      </c>
      <c r="C28" s="427">
        <v>5000</v>
      </c>
      <c r="D28" s="365">
        <v>6</v>
      </c>
      <c r="E28" s="365">
        <v>15</v>
      </c>
      <c r="F28" s="365">
        <v>10</v>
      </c>
      <c r="G28" s="348">
        <v>23</v>
      </c>
      <c r="H28" s="416">
        <f>D28*C28/G28</f>
        <v>1304.3478260869565</v>
      </c>
      <c r="I28" s="416">
        <f>E28*G28/2</f>
        <v>172.5</v>
      </c>
      <c r="J28" s="420">
        <f>F28*G28</f>
        <v>230</v>
      </c>
    </row>
    <row r="29" spans="2:10" x14ac:dyDescent="0.3">
      <c r="B29" s="433">
        <v>2</v>
      </c>
      <c r="C29" s="427">
        <v>7000</v>
      </c>
      <c r="D29" s="365">
        <v>110</v>
      </c>
      <c r="E29" s="365">
        <v>8</v>
      </c>
      <c r="F29" s="365">
        <v>5</v>
      </c>
      <c r="G29" s="348">
        <v>195</v>
      </c>
      <c r="H29" s="416">
        <f>D29*C29/G29</f>
        <v>3948.7179487179487</v>
      </c>
      <c r="I29" s="416">
        <f t="shared" ref="I29:I32" si="4">E29*G29/2</f>
        <v>780</v>
      </c>
      <c r="J29" s="420">
        <f t="shared" ref="J29:J32" si="5">F29*G29</f>
        <v>975</v>
      </c>
    </row>
    <row r="30" spans="2:10" x14ac:dyDescent="0.3">
      <c r="B30" s="433">
        <v>3</v>
      </c>
      <c r="C30" s="427">
        <v>2000</v>
      </c>
      <c r="D30" s="365">
        <v>7</v>
      </c>
      <c r="E30" s="365">
        <v>20</v>
      </c>
      <c r="F30" s="365">
        <v>2</v>
      </c>
      <c r="G30" s="348">
        <v>29</v>
      </c>
      <c r="H30" s="416">
        <f t="shared" ref="H30:H32" si="6">D30*C30/G30</f>
        <v>482.75862068965517</v>
      </c>
      <c r="I30" s="416">
        <f t="shared" si="4"/>
        <v>290</v>
      </c>
      <c r="J30" s="420">
        <f t="shared" si="5"/>
        <v>58</v>
      </c>
    </row>
    <row r="31" spans="2:10" x14ac:dyDescent="0.3">
      <c r="B31" s="433">
        <v>4</v>
      </c>
      <c r="C31" s="427">
        <v>200</v>
      </c>
      <c r="D31" s="365">
        <v>5</v>
      </c>
      <c r="E31" s="365">
        <v>4</v>
      </c>
      <c r="F31" s="365">
        <v>3</v>
      </c>
      <c r="G31" s="348">
        <v>9</v>
      </c>
      <c r="H31" s="416">
        <f t="shared" si="6"/>
        <v>111.11111111111111</v>
      </c>
      <c r="I31" s="416">
        <f t="shared" si="4"/>
        <v>18</v>
      </c>
      <c r="J31" s="420">
        <f t="shared" si="5"/>
        <v>27</v>
      </c>
    </row>
    <row r="32" spans="2:10" ht="15" thickBot="1" x14ac:dyDescent="0.35">
      <c r="B32" s="434">
        <v>5</v>
      </c>
      <c r="C32" s="195">
        <v>800</v>
      </c>
      <c r="D32" s="196">
        <v>4</v>
      </c>
      <c r="E32" s="196">
        <v>8</v>
      </c>
      <c r="F32" s="196">
        <v>4</v>
      </c>
      <c r="G32" s="421">
        <v>15</v>
      </c>
      <c r="H32" s="422">
        <f t="shared" si="6"/>
        <v>213.33333333333334</v>
      </c>
      <c r="I32" s="422">
        <f t="shared" si="4"/>
        <v>60</v>
      </c>
      <c r="J32" s="423">
        <f t="shared" si="5"/>
        <v>60</v>
      </c>
    </row>
    <row r="33" spans="2:10" ht="15" thickBot="1" x14ac:dyDescent="0.35">
      <c r="B33" s="60"/>
      <c r="C33" s="60"/>
      <c r="D33" s="60"/>
      <c r="E33" s="60"/>
      <c r="F33" s="60"/>
      <c r="G33" s="60"/>
      <c r="H33" s="424">
        <f>SUM(H28:H32)</f>
        <v>6060.2688399390045</v>
      </c>
      <c r="I33" s="425">
        <f>SUM(I28:I32)</f>
        <v>1320.5</v>
      </c>
      <c r="J33" s="426">
        <f>SUM(J28:J32)</f>
        <v>1350</v>
      </c>
    </row>
    <row r="34" spans="2:10" ht="15" thickBot="1" x14ac:dyDescent="0.35"/>
    <row r="35" spans="2:10" ht="15" thickBot="1" x14ac:dyDescent="0.35">
      <c r="B35" s="398" t="s">
        <v>492</v>
      </c>
      <c r="C35" s="430">
        <f>H33+I33</f>
        <v>7380.7688399390045</v>
      </c>
    </row>
    <row r="36" spans="2:10" ht="15" thickBot="1" x14ac:dyDescent="0.35">
      <c r="B36" s="432" t="s">
        <v>484</v>
      </c>
      <c r="C36" s="431">
        <f>J33</f>
        <v>1350</v>
      </c>
      <c r="D36" s="1" t="s">
        <v>457</v>
      </c>
      <c r="E36" s="2">
        <v>1350</v>
      </c>
    </row>
    <row r="39" spans="2:10" x14ac:dyDescent="0.3">
      <c r="B39" s="439" t="s">
        <v>493</v>
      </c>
      <c r="C39" s="439"/>
      <c r="D39" s="446" t="s">
        <v>494</v>
      </c>
      <c r="E39" s="446"/>
      <c r="F39" s="446"/>
      <c r="G39" s="446"/>
      <c r="H39" s="446" t="s">
        <v>495</v>
      </c>
      <c r="I39" s="446"/>
      <c r="J39" s="446"/>
    </row>
    <row r="40" spans="2:10" x14ac:dyDescent="0.3">
      <c r="B40" s="440" t="s">
        <v>496</v>
      </c>
      <c r="C40" s="441"/>
      <c r="D40" s="447">
        <f>C23</f>
        <v>3077</v>
      </c>
      <c r="E40" s="448"/>
      <c r="F40" s="448"/>
      <c r="G40" s="449"/>
      <c r="H40" s="447">
        <f>C22</f>
        <v>5522.7954468831467</v>
      </c>
      <c r="I40" s="448"/>
      <c r="J40" s="449"/>
    </row>
    <row r="41" spans="2:10" x14ac:dyDescent="0.3">
      <c r="B41" s="442"/>
      <c r="C41" s="443"/>
      <c r="D41" s="450"/>
      <c r="E41" s="451"/>
      <c r="F41" s="451"/>
      <c r="G41" s="452"/>
      <c r="H41" s="450"/>
      <c r="I41" s="451"/>
      <c r="J41" s="452"/>
    </row>
    <row r="42" spans="2:10" x14ac:dyDescent="0.3">
      <c r="B42" s="444"/>
      <c r="C42" s="445"/>
      <c r="D42" s="453"/>
      <c r="E42" s="454"/>
      <c r="F42" s="454"/>
      <c r="G42" s="455"/>
      <c r="H42" s="453"/>
      <c r="I42" s="454"/>
      <c r="J42" s="455"/>
    </row>
    <row r="43" spans="2:10" ht="14.4" customHeight="1" x14ac:dyDescent="0.3">
      <c r="B43" s="440" t="s">
        <v>497</v>
      </c>
      <c r="C43" s="441"/>
      <c r="D43" s="447">
        <f>E36</f>
        <v>1350</v>
      </c>
      <c r="E43" s="448"/>
      <c r="F43" s="448"/>
      <c r="G43" s="449"/>
      <c r="H43" s="447">
        <f>C35</f>
        <v>7380.7688399390045</v>
      </c>
      <c r="I43" s="448"/>
      <c r="J43" s="449"/>
    </row>
    <row r="44" spans="2:10" x14ac:dyDescent="0.3">
      <c r="B44" s="442"/>
      <c r="C44" s="443"/>
      <c r="D44" s="450"/>
      <c r="E44" s="456"/>
      <c r="F44" s="456"/>
      <c r="G44" s="452"/>
      <c r="H44" s="450"/>
      <c r="I44" s="456"/>
      <c r="J44" s="452"/>
    </row>
    <row r="45" spans="2:10" x14ac:dyDescent="0.3">
      <c r="B45" s="442"/>
      <c r="C45" s="443"/>
      <c r="D45" s="450"/>
      <c r="E45" s="456"/>
      <c r="F45" s="456"/>
      <c r="G45" s="452"/>
      <c r="H45" s="450"/>
      <c r="I45" s="456"/>
      <c r="J45" s="452"/>
    </row>
    <row r="46" spans="2:10" x14ac:dyDescent="0.3">
      <c r="B46" s="442"/>
      <c r="C46" s="443"/>
      <c r="D46" s="450"/>
      <c r="E46" s="456"/>
      <c r="F46" s="456"/>
      <c r="G46" s="452"/>
      <c r="H46" s="450"/>
      <c r="I46" s="456"/>
      <c r="J46" s="452"/>
    </row>
    <row r="47" spans="2:10" x14ac:dyDescent="0.3">
      <c r="B47" s="444"/>
      <c r="C47" s="445"/>
      <c r="D47" s="453"/>
      <c r="E47" s="454"/>
      <c r="F47" s="454"/>
      <c r="G47" s="455"/>
      <c r="H47" s="453"/>
      <c r="I47" s="454"/>
      <c r="J47" s="455"/>
    </row>
    <row r="48" spans="2:10" ht="15" thickBot="1" x14ac:dyDescent="0.35"/>
    <row r="49" spans="2:3" ht="15" thickBot="1" x14ac:dyDescent="0.35">
      <c r="B49" s="457" t="s">
        <v>498</v>
      </c>
      <c r="C49" s="458">
        <f>H43-H40</f>
        <v>1857.9733930558577</v>
      </c>
    </row>
  </sheetData>
  <mergeCells count="15">
    <mergeCell ref="B43:C47"/>
    <mergeCell ref="D43:G47"/>
    <mergeCell ref="H43:J47"/>
    <mergeCell ref="B39:C39"/>
    <mergeCell ref="D39:G39"/>
    <mergeCell ref="H39:J39"/>
    <mergeCell ref="B40:C42"/>
    <mergeCell ref="D40:G42"/>
    <mergeCell ref="H40:J42"/>
    <mergeCell ref="B2:D2"/>
    <mergeCell ref="B3:D3"/>
    <mergeCell ref="B4:D4"/>
    <mergeCell ref="B9:B12"/>
    <mergeCell ref="C9:C12"/>
    <mergeCell ref="B6:I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9593-29B3-48E9-9EB5-804583A39F64}">
  <dimension ref="A1:F69"/>
  <sheetViews>
    <sheetView showGridLines="0" workbookViewId="0">
      <selection activeCell="F69" sqref="A1:F69"/>
    </sheetView>
  </sheetViews>
  <sheetFormatPr defaultRowHeight="14.4" x14ac:dyDescent="0.3"/>
  <cols>
    <col min="1" max="1" width="2.33203125" customWidth="1"/>
    <col min="2" max="2" width="6.21875" bestFit="1" customWidth="1"/>
    <col min="3" max="3" width="21.77734375" bestFit="1" customWidth="1"/>
    <col min="4" max="4" width="12.6640625" bestFit="1" customWidth="1"/>
    <col min="5" max="5" width="13.109375" bestFit="1" customWidth="1"/>
    <col min="6" max="6" width="14" bestFit="1" customWidth="1"/>
  </cols>
  <sheetData>
    <row r="1" spans="1:6" x14ac:dyDescent="0.3">
      <c r="A1" s="93" t="s">
        <v>327</v>
      </c>
    </row>
    <row r="2" spans="1:6" x14ac:dyDescent="0.3">
      <c r="A2" s="93" t="s">
        <v>328</v>
      </c>
    </row>
    <row r="3" spans="1:6" x14ac:dyDescent="0.3">
      <c r="A3" s="93" t="s">
        <v>329</v>
      </c>
    </row>
    <row r="6" spans="1:6" ht="15" thickBot="1" x14ac:dyDescent="0.35">
      <c r="A6" t="s">
        <v>64</v>
      </c>
    </row>
    <row r="7" spans="1:6" ht="15" thickBot="1" x14ac:dyDescent="0.35">
      <c r="B7" s="95" t="s">
        <v>65</v>
      </c>
      <c r="C7" s="95" t="s">
        <v>66</v>
      </c>
      <c r="D7" s="95" t="s">
        <v>67</v>
      </c>
      <c r="E7" s="95" t="s">
        <v>68</v>
      </c>
      <c r="F7" s="95" t="s">
        <v>330</v>
      </c>
    </row>
    <row r="8" spans="1:6" ht="15" thickBot="1" x14ac:dyDescent="0.35">
      <c r="B8" s="94" t="s">
        <v>332</v>
      </c>
      <c r="C8" s="94" t="s">
        <v>333</v>
      </c>
      <c r="D8" s="97">
        <v>0</v>
      </c>
      <c r="E8" s="97">
        <v>0</v>
      </c>
      <c r="F8" s="233" t="s">
        <v>334</v>
      </c>
    </row>
    <row r="11" spans="1:6" ht="15" thickBot="1" x14ac:dyDescent="0.35">
      <c r="A11" t="s">
        <v>69</v>
      </c>
    </row>
    <row r="12" spans="1:6" ht="15" thickBot="1" x14ac:dyDescent="0.35">
      <c r="B12" s="95" t="s">
        <v>65</v>
      </c>
      <c r="C12" s="95" t="s">
        <v>66</v>
      </c>
      <c r="D12" s="95" t="s">
        <v>67</v>
      </c>
      <c r="E12" s="95" t="s">
        <v>68</v>
      </c>
      <c r="F12" s="95" t="s">
        <v>331</v>
      </c>
    </row>
    <row r="13" spans="1:6" x14ac:dyDescent="0.3">
      <c r="B13" s="96" t="s">
        <v>335</v>
      </c>
      <c r="C13" s="96" t="s">
        <v>336</v>
      </c>
      <c r="D13" s="98">
        <v>0</v>
      </c>
      <c r="E13" s="98">
        <v>0</v>
      </c>
      <c r="F13" s="234" t="s">
        <v>334</v>
      </c>
    </row>
    <row r="14" spans="1:6" x14ac:dyDescent="0.3">
      <c r="B14" s="96" t="s">
        <v>337</v>
      </c>
      <c r="C14" s="96" t="s">
        <v>338</v>
      </c>
      <c r="D14" s="98">
        <v>0</v>
      </c>
      <c r="E14" s="98">
        <v>0</v>
      </c>
      <c r="F14" s="234" t="s">
        <v>334</v>
      </c>
    </row>
    <row r="15" spans="1:6" x14ac:dyDescent="0.3">
      <c r="B15" s="96" t="s">
        <v>339</v>
      </c>
      <c r="C15" s="96" t="s">
        <v>340</v>
      </c>
      <c r="D15" s="98">
        <v>0</v>
      </c>
      <c r="E15" s="98">
        <v>0</v>
      </c>
      <c r="F15" s="234" t="s">
        <v>334</v>
      </c>
    </row>
    <row r="16" spans="1:6" x14ac:dyDescent="0.3">
      <c r="B16" s="96" t="s">
        <v>341</v>
      </c>
      <c r="C16" s="96" t="s">
        <v>342</v>
      </c>
      <c r="D16" s="98">
        <v>0</v>
      </c>
      <c r="E16" s="98">
        <v>0</v>
      </c>
      <c r="F16" s="234" t="s">
        <v>334</v>
      </c>
    </row>
    <row r="17" spans="2:6" x14ac:dyDescent="0.3">
      <c r="B17" s="96" t="s">
        <v>343</v>
      </c>
      <c r="C17" s="96" t="s">
        <v>344</v>
      </c>
      <c r="D17" s="98">
        <v>0</v>
      </c>
      <c r="E17" s="98">
        <v>0</v>
      </c>
      <c r="F17" s="234" t="s">
        <v>334</v>
      </c>
    </row>
    <row r="18" spans="2:6" x14ac:dyDescent="0.3">
      <c r="B18" s="96" t="s">
        <v>345</v>
      </c>
      <c r="C18" s="96" t="s">
        <v>346</v>
      </c>
      <c r="D18" s="98">
        <v>0</v>
      </c>
      <c r="E18" s="98">
        <v>0</v>
      </c>
      <c r="F18" s="234" t="s">
        <v>334</v>
      </c>
    </row>
    <row r="19" spans="2:6" x14ac:dyDescent="0.3">
      <c r="B19" s="96" t="s">
        <v>347</v>
      </c>
      <c r="C19" s="96" t="s">
        <v>348</v>
      </c>
      <c r="D19" s="98">
        <v>0</v>
      </c>
      <c r="E19" s="98">
        <v>0</v>
      </c>
      <c r="F19" s="234" t="s">
        <v>334</v>
      </c>
    </row>
    <row r="20" spans="2:6" x14ac:dyDescent="0.3">
      <c r="B20" s="96" t="s">
        <v>349</v>
      </c>
      <c r="C20" s="96" t="s">
        <v>350</v>
      </c>
      <c r="D20" s="98">
        <v>0</v>
      </c>
      <c r="E20" s="98">
        <v>0</v>
      </c>
      <c r="F20" s="234" t="s">
        <v>334</v>
      </c>
    </row>
    <row r="21" spans="2:6" x14ac:dyDescent="0.3">
      <c r="B21" s="96" t="s">
        <v>351</v>
      </c>
      <c r="C21" s="96" t="s">
        <v>352</v>
      </c>
      <c r="D21" s="98">
        <v>0</v>
      </c>
      <c r="E21" s="98">
        <v>0</v>
      </c>
      <c r="F21" s="234" t="s">
        <v>334</v>
      </c>
    </row>
    <row r="22" spans="2:6" x14ac:dyDescent="0.3">
      <c r="B22" s="96" t="s">
        <v>353</v>
      </c>
      <c r="C22" s="96" t="s">
        <v>354</v>
      </c>
      <c r="D22" s="235">
        <v>0</v>
      </c>
      <c r="E22" s="235">
        <v>0</v>
      </c>
      <c r="F22" s="234" t="s">
        <v>334</v>
      </c>
    </row>
    <row r="23" spans="2:6" x14ac:dyDescent="0.3">
      <c r="B23" s="96" t="s">
        <v>355</v>
      </c>
      <c r="C23" s="96" t="s">
        <v>356</v>
      </c>
      <c r="D23" s="235">
        <v>0</v>
      </c>
      <c r="E23" s="235">
        <v>0</v>
      </c>
      <c r="F23" s="234" t="s">
        <v>334</v>
      </c>
    </row>
    <row r="24" spans="2:6" x14ac:dyDescent="0.3">
      <c r="B24" s="96" t="s">
        <v>357</v>
      </c>
      <c r="C24" s="96" t="s">
        <v>358</v>
      </c>
      <c r="D24" s="98">
        <v>0</v>
      </c>
      <c r="E24" s="98">
        <v>0</v>
      </c>
      <c r="F24" s="234" t="s">
        <v>334</v>
      </c>
    </row>
    <row r="25" spans="2:6" x14ac:dyDescent="0.3">
      <c r="B25" s="96" t="s">
        <v>359</v>
      </c>
      <c r="C25" s="96" t="s">
        <v>360</v>
      </c>
      <c r="D25" s="235">
        <v>0</v>
      </c>
      <c r="E25" s="235">
        <v>0</v>
      </c>
      <c r="F25" s="234" t="s">
        <v>334</v>
      </c>
    </row>
    <row r="26" spans="2:6" x14ac:dyDescent="0.3">
      <c r="B26" s="96" t="s">
        <v>361</v>
      </c>
      <c r="C26" s="96" t="s">
        <v>362</v>
      </c>
      <c r="D26" s="235">
        <v>0</v>
      </c>
      <c r="E26" s="235">
        <v>0</v>
      </c>
      <c r="F26" s="234" t="s">
        <v>334</v>
      </c>
    </row>
    <row r="27" spans="2:6" x14ac:dyDescent="0.3">
      <c r="B27" s="96" t="s">
        <v>363</v>
      </c>
      <c r="C27" s="96" t="s">
        <v>364</v>
      </c>
      <c r="D27" s="98">
        <v>0</v>
      </c>
      <c r="E27" s="98">
        <v>0</v>
      </c>
      <c r="F27" s="234" t="s">
        <v>334</v>
      </c>
    </row>
    <row r="28" spans="2:6" x14ac:dyDescent="0.3">
      <c r="B28" s="96" t="s">
        <v>365</v>
      </c>
      <c r="C28" s="96" t="s">
        <v>366</v>
      </c>
      <c r="D28" s="98">
        <v>0</v>
      </c>
      <c r="E28" s="98">
        <v>0</v>
      </c>
      <c r="F28" s="234" t="s">
        <v>334</v>
      </c>
    </row>
    <row r="29" spans="2:6" x14ac:dyDescent="0.3">
      <c r="B29" s="96" t="s">
        <v>367</v>
      </c>
      <c r="C29" s="96" t="s">
        <v>368</v>
      </c>
      <c r="D29" s="98">
        <v>0</v>
      </c>
      <c r="E29" s="98">
        <v>0</v>
      </c>
      <c r="F29" s="234" t="s">
        <v>334</v>
      </c>
    </row>
    <row r="30" spans="2:6" x14ac:dyDescent="0.3">
      <c r="B30" s="96" t="s">
        <v>369</v>
      </c>
      <c r="C30" s="96" t="s">
        <v>370</v>
      </c>
      <c r="D30" s="98">
        <v>0</v>
      </c>
      <c r="E30" s="98">
        <v>0</v>
      </c>
      <c r="F30" s="234" t="s">
        <v>334</v>
      </c>
    </row>
    <row r="31" spans="2:6" x14ac:dyDescent="0.3">
      <c r="B31" s="96" t="s">
        <v>371</v>
      </c>
      <c r="C31" s="96" t="s">
        <v>372</v>
      </c>
      <c r="D31" s="98">
        <v>0</v>
      </c>
      <c r="E31" s="98">
        <v>0</v>
      </c>
      <c r="F31" s="234" t="s">
        <v>334</v>
      </c>
    </row>
    <row r="32" spans="2:6" x14ac:dyDescent="0.3">
      <c r="B32" s="96" t="s">
        <v>373</v>
      </c>
      <c r="C32" s="96" t="s">
        <v>374</v>
      </c>
      <c r="D32" s="98">
        <v>0</v>
      </c>
      <c r="E32" s="98">
        <v>0</v>
      </c>
      <c r="F32" s="234" t="s">
        <v>334</v>
      </c>
    </row>
    <row r="33" spans="1:6" x14ac:dyDescent="0.3">
      <c r="B33" s="96" t="s">
        <v>375</v>
      </c>
      <c r="C33" s="96" t="s">
        <v>376</v>
      </c>
      <c r="D33" s="98">
        <v>0</v>
      </c>
      <c r="E33" s="98">
        <v>0</v>
      </c>
      <c r="F33" s="234" t="s">
        <v>334</v>
      </c>
    </row>
    <row r="34" spans="1:6" x14ac:dyDescent="0.3">
      <c r="B34" s="96" t="s">
        <v>377</v>
      </c>
      <c r="C34" s="96" t="s">
        <v>378</v>
      </c>
      <c r="D34" s="98">
        <v>0</v>
      </c>
      <c r="E34" s="98">
        <v>0</v>
      </c>
      <c r="F34" s="234" t="s">
        <v>334</v>
      </c>
    </row>
    <row r="35" spans="1:6" x14ac:dyDescent="0.3">
      <c r="B35" s="96" t="s">
        <v>379</v>
      </c>
      <c r="C35" s="96" t="s">
        <v>380</v>
      </c>
      <c r="D35" s="98">
        <v>0</v>
      </c>
      <c r="E35" s="98">
        <v>0</v>
      </c>
      <c r="F35" s="234" t="s">
        <v>334</v>
      </c>
    </row>
    <row r="36" spans="1:6" ht="15" thickBot="1" x14ac:dyDescent="0.35">
      <c r="B36" s="94" t="s">
        <v>381</v>
      </c>
      <c r="C36" s="94" t="s">
        <v>382</v>
      </c>
      <c r="D36" s="236">
        <v>0</v>
      </c>
      <c r="E36" s="236">
        <v>0</v>
      </c>
      <c r="F36" s="233" t="s">
        <v>334</v>
      </c>
    </row>
    <row r="39" spans="1:6" ht="15" thickBot="1" x14ac:dyDescent="0.35">
      <c r="A39" t="s">
        <v>71</v>
      </c>
    </row>
    <row r="40" spans="1:6" ht="15" thickBot="1" x14ac:dyDescent="0.35">
      <c r="B40" s="95" t="s">
        <v>65</v>
      </c>
      <c r="C40" s="95" t="s">
        <v>66</v>
      </c>
      <c r="D40" s="95" t="s">
        <v>72</v>
      </c>
      <c r="E40" s="95" t="s">
        <v>73</v>
      </c>
      <c r="F40" s="95" t="s">
        <v>330</v>
      </c>
    </row>
    <row r="41" spans="1:6" x14ac:dyDescent="0.3">
      <c r="B41" s="96" t="s">
        <v>353</v>
      </c>
      <c r="C41" s="96" t="s">
        <v>354</v>
      </c>
      <c r="D41" s="235">
        <v>0</v>
      </c>
      <c r="E41" s="96" t="s">
        <v>383</v>
      </c>
      <c r="F41" s="234" t="s">
        <v>334</v>
      </c>
    </row>
    <row r="42" spans="1:6" x14ac:dyDescent="0.3">
      <c r="B42" s="96" t="s">
        <v>359</v>
      </c>
      <c r="C42" s="96" t="s">
        <v>360</v>
      </c>
      <c r="D42" s="235">
        <v>0</v>
      </c>
      <c r="E42" s="96" t="s">
        <v>384</v>
      </c>
      <c r="F42" s="234" t="s">
        <v>334</v>
      </c>
    </row>
    <row r="43" spans="1:6" x14ac:dyDescent="0.3">
      <c r="B43" s="96" t="s">
        <v>365</v>
      </c>
      <c r="C43" s="96" t="s">
        <v>366</v>
      </c>
      <c r="D43" s="98">
        <v>0</v>
      </c>
      <c r="E43" s="96" t="s">
        <v>385</v>
      </c>
      <c r="F43" s="234" t="s">
        <v>334</v>
      </c>
    </row>
    <row r="44" spans="1:6" x14ac:dyDescent="0.3">
      <c r="B44" s="96" t="s">
        <v>359</v>
      </c>
      <c r="C44" s="96" t="s">
        <v>360</v>
      </c>
      <c r="D44" s="235">
        <v>0</v>
      </c>
      <c r="E44" s="96" t="s">
        <v>386</v>
      </c>
      <c r="F44" s="234" t="s">
        <v>334</v>
      </c>
    </row>
    <row r="45" spans="1:6" x14ac:dyDescent="0.3">
      <c r="B45" s="96" t="s">
        <v>365</v>
      </c>
      <c r="C45" s="96" t="s">
        <v>366</v>
      </c>
      <c r="D45" s="98">
        <v>0</v>
      </c>
      <c r="E45" s="96" t="s">
        <v>387</v>
      </c>
      <c r="F45" s="234" t="s">
        <v>334</v>
      </c>
    </row>
    <row r="46" spans="1:6" x14ac:dyDescent="0.3">
      <c r="B46" s="96" t="s">
        <v>371</v>
      </c>
      <c r="C46" s="96" t="s">
        <v>372</v>
      </c>
      <c r="D46" s="98">
        <v>0</v>
      </c>
      <c r="E46" s="96" t="s">
        <v>388</v>
      </c>
      <c r="F46" s="234" t="s">
        <v>334</v>
      </c>
    </row>
    <row r="47" spans="1:6" x14ac:dyDescent="0.3">
      <c r="B47" s="96" t="s">
        <v>371</v>
      </c>
      <c r="C47" s="96" t="s">
        <v>372</v>
      </c>
      <c r="D47" s="98">
        <v>0</v>
      </c>
      <c r="E47" s="96" t="s">
        <v>389</v>
      </c>
      <c r="F47" s="234" t="s">
        <v>334</v>
      </c>
    </row>
    <row r="48" spans="1:6" x14ac:dyDescent="0.3">
      <c r="B48" s="96" t="s">
        <v>377</v>
      </c>
      <c r="C48" s="96" t="s">
        <v>378</v>
      </c>
      <c r="D48" s="98">
        <v>0</v>
      </c>
      <c r="E48" s="96" t="s">
        <v>390</v>
      </c>
      <c r="F48" s="234" t="s">
        <v>334</v>
      </c>
    </row>
    <row r="49" spans="2:6" x14ac:dyDescent="0.3">
      <c r="B49" s="96" t="s">
        <v>377</v>
      </c>
      <c r="C49" s="96" t="s">
        <v>378</v>
      </c>
      <c r="D49" s="98">
        <v>0</v>
      </c>
      <c r="E49" s="96" t="s">
        <v>391</v>
      </c>
      <c r="F49" s="234" t="s">
        <v>334</v>
      </c>
    </row>
    <row r="50" spans="2:6" x14ac:dyDescent="0.3">
      <c r="B50" s="96" t="s">
        <v>367</v>
      </c>
      <c r="C50" s="96" t="s">
        <v>368</v>
      </c>
      <c r="D50" s="98">
        <v>0</v>
      </c>
      <c r="E50" s="96" t="s">
        <v>392</v>
      </c>
      <c r="F50" s="234" t="s">
        <v>334</v>
      </c>
    </row>
    <row r="51" spans="2:6" x14ac:dyDescent="0.3">
      <c r="B51" s="96" t="s">
        <v>373</v>
      </c>
      <c r="C51" s="96" t="s">
        <v>374</v>
      </c>
      <c r="D51" s="98">
        <v>0</v>
      </c>
      <c r="E51" s="96" t="s">
        <v>393</v>
      </c>
      <c r="F51" s="234" t="s">
        <v>334</v>
      </c>
    </row>
    <row r="52" spans="2:6" x14ac:dyDescent="0.3">
      <c r="B52" s="96" t="s">
        <v>379</v>
      </c>
      <c r="C52" s="96" t="s">
        <v>380</v>
      </c>
      <c r="D52" s="98">
        <v>0</v>
      </c>
      <c r="E52" s="96" t="s">
        <v>394</v>
      </c>
      <c r="F52" s="96" t="s">
        <v>395</v>
      </c>
    </row>
    <row r="53" spans="2:6" x14ac:dyDescent="0.3">
      <c r="B53" s="96" t="s">
        <v>396</v>
      </c>
      <c r="C53" s="96" t="s">
        <v>397</v>
      </c>
      <c r="D53" s="98">
        <v>0</v>
      </c>
      <c r="E53" s="96" t="s">
        <v>398</v>
      </c>
      <c r="F53" s="234" t="s">
        <v>334</v>
      </c>
    </row>
    <row r="54" spans="2:6" x14ac:dyDescent="0.3">
      <c r="B54" s="96" t="s">
        <v>399</v>
      </c>
      <c r="C54" s="96" t="s">
        <v>400</v>
      </c>
      <c r="D54" s="98">
        <v>0</v>
      </c>
      <c r="E54" s="96" t="s">
        <v>401</v>
      </c>
      <c r="F54" s="234" t="s">
        <v>334</v>
      </c>
    </row>
    <row r="55" spans="2:6" x14ac:dyDescent="0.3">
      <c r="B55" s="96" t="s">
        <v>402</v>
      </c>
      <c r="C55" s="96" t="s">
        <v>403</v>
      </c>
      <c r="D55" s="98">
        <v>0</v>
      </c>
      <c r="E55" s="96" t="s">
        <v>404</v>
      </c>
      <c r="F55" s="234" t="s">
        <v>334</v>
      </c>
    </row>
    <row r="56" spans="2:6" x14ac:dyDescent="0.3">
      <c r="B56" s="96" t="s">
        <v>405</v>
      </c>
      <c r="C56" s="96" t="s">
        <v>406</v>
      </c>
      <c r="D56" s="98">
        <v>0</v>
      </c>
      <c r="E56" s="96" t="s">
        <v>407</v>
      </c>
      <c r="F56" s="234" t="s">
        <v>334</v>
      </c>
    </row>
    <row r="57" spans="2:6" x14ac:dyDescent="0.3">
      <c r="B57" s="96" t="s">
        <v>408</v>
      </c>
      <c r="C57" s="96" t="s">
        <v>409</v>
      </c>
      <c r="D57" s="98">
        <v>0</v>
      </c>
      <c r="E57" s="96" t="s">
        <v>410</v>
      </c>
      <c r="F57" s="234" t="s">
        <v>334</v>
      </c>
    </row>
    <row r="58" spans="2:6" x14ac:dyDescent="0.3">
      <c r="B58" s="96" t="s">
        <v>411</v>
      </c>
      <c r="C58" s="96" t="s">
        <v>412</v>
      </c>
      <c r="D58" s="98">
        <v>0</v>
      </c>
      <c r="E58" s="96" t="s">
        <v>413</v>
      </c>
      <c r="F58" s="234" t="s">
        <v>334</v>
      </c>
    </row>
    <row r="59" spans="2:6" x14ac:dyDescent="0.3">
      <c r="B59" s="96" t="s">
        <v>414</v>
      </c>
      <c r="C59" s="96" t="s">
        <v>415</v>
      </c>
      <c r="D59" s="98">
        <v>0</v>
      </c>
      <c r="E59" s="96" t="s">
        <v>416</v>
      </c>
      <c r="F59" s="234" t="s">
        <v>334</v>
      </c>
    </row>
    <row r="60" spans="2:6" x14ac:dyDescent="0.3">
      <c r="B60" s="96" t="s">
        <v>417</v>
      </c>
      <c r="C60" s="96" t="s">
        <v>418</v>
      </c>
      <c r="D60" s="98">
        <v>0</v>
      </c>
      <c r="E60" s="96" t="s">
        <v>419</v>
      </c>
      <c r="F60" s="234" t="s">
        <v>334</v>
      </c>
    </row>
    <row r="61" spans="2:6" x14ac:dyDescent="0.3">
      <c r="B61" s="96" t="s">
        <v>396</v>
      </c>
      <c r="C61" s="96" t="s">
        <v>397</v>
      </c>
      <c r="D61" s="98">
        <v>0</v>
      </c>
      <c r="E61" s="96" t="s">
        <v>420</v>
      </c>
      <c r="F61" s="234" t="s">
        <v>334</v>
      </c>
    </row>
    <row r="62" spans="2:6" x14ac:dyDescent="0.3">
      <c r="B62" s="96" t="s">
        <v>399</v>
      </c>
      <c r="C62" s="96" t="s">
        <v>400</v>
      </c>
      <c r="D62" s="98">
        <v>0</v>
      </c>
      <c r="E62" s="96" t="s">
        <v>421</v>
      </c>
      <c r="F62" s="234" t="s">
        <v>334</v>
      </c>
    </row>
    <row r="63" spans="2:6" x14ac:dyDescent="0.3">
      <c r="B63" s="96" t="s">
        <v>402</v>
      </c>
      <c r="C63" s="96" t="s">
        <v>403</v>
      </c>
      <c r="D63" s="98">
        <v>0</v>
      </c>
      <c r="E63" s="96" t="s">
        <v>422</v>
      </c>
      <c r="F63" s="234" t="s">
        <v>334</v>
      </c>
    </row>
    <row r="64" spans="2:6" x14ac:dyDescent="0.3">
      <c r="B64" s="96" t="s">
        <v>405</v>
      </c>
      <c r="C64" s="96" t="s">
        <v>406</v>
      </c>
      <c r="D64" s="98">
        <v>0</v>
      </c>
      <c r="E64" s="96" t="s">
        <v>423</v>
      </c>
      <c r="F64" s="234" t="s">
        <v>334</v>
      </c>
    </row>
    <row r="65" spans="2:6" x14ac:dyDescent="0.3">
      <c r="B65" s="96" t="s">
        <v>408</v>
      </c>
      <c r="C65" s="96" t="s">
        <v>409</v>
      </c>
      <c r="D65" s="98">
        <v>0</v>
      </c>
      <c r="E65" s="96" t="s">
        <v>424</v>
      </c>
      <c r="F65" s="234" t="s">
        <v>334</v>
      </c>
    </row>
    <row r="66" spans="2:6" x14ac:dyDescent="0.3">
      <c r="B66" s="96" t="s">
        <v>411</v>
      </c>
      <c r="C66" s="96" t="s">
        <v>412</v>
      </c>
      <c r="D66" s="98">
        <v>0</v>
      </c>
      <c r="E66" s="96" t="s">
        <v>425</v>
      </c>
      <c r="F66" s="234" t="s">
        <v>334</v>
      </c>
    </row>
    <row r="67" spans="2:6" x14ac:dyDescent="0.3">
      <c r="B67" s="96" t="s">
        <v>414</v>
      </c>
      <c r="C67" s="96" t="s">
        <v>415</v>
      </c>
      <c r="D67" s="98">
        <v>0</v>
      </c>
      <c r="E67" s="96" t="s">
        <v>426</v>
      </c>
      <c r="F67" s="234" t="s">
        <v>334</v>
      </c>
    </row>
    <row r="68" spans="2:6" x14ac:dyDescent="0.3">
      <c r="B68" s="96" t="s">
        <v>417</v>
      </c>
      <c r="C68" s="96" t="s">
        <v>418</v>
      </c>
      <c r="D68" s="98">
        <v>0</v>
      </c>
      <c r="E68" s="96" t="s">
        <v>427</v>
      </c>
      <c r="F68" s="234" t="s">
        <v>334</v>
      </c>
    </row>
    <row r="69" spans="2:6" ht="15" thickBot="1" x14ac:dyDescent="0.35">
      <c r="B69" s="94" t="s">
        <v>428</v>
      </c>
      <c r="C69" s="94" t="s">
        <v>429</v>
      </c>
      <c r="D69" s="236">
        <v>0</v>
      </c>
      <c r="E69" s="94" t="s">
        <v>430</v>
      </c>
      <c r="F69" s="233" t="s">
        <v>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DFF8-7B82-4337-A7D5-A100F18075ED}">
  <dimension ref="B3:T89"/>
  <sheetViews>
    <sheetView topLeftCell="A64" zoomScale="70" zoomScaleNormal="70" workbookViewId="0">
      <selection activeCell="G83" sqref="G83"/>
    </sheetView>
  </sheetViews>
  <sheetFormatPr defaultRowHeight="14.4" x14ac:dyDescent="0.3"/>
  <cols>
    <col min="3" max="3" width="10.6640625" customWidth="1"/>
  </cols>
  <sheetData>
    <row r="3" spans="2:14" x14ac:dyDescent="0.3">
      <c r="B3" s="269" t="s">
        <v>0</v>
      </c>
      <c r="C3" s="270"/>
      <c r="D3" s="271"/>
      <c r="N3" s="212"/>
    </row>
    <row r="4" spans="2:14" x14ac:dyDescent="0.3">
      <c r="B4" s="272">
        <v>351004</v>
      </c>
      <c r="C4" s="264"/>
      <c r="D4" s="273"/>
      <c r="N4" s="212"/>
    </row>
    <row r="5" spans="2:14" x14ac:dyDescent="0.3">
      <c r="B5" s="274" t="s">
        <v>1</v>
      </c>
      <c r="C5" s="275"/>
      <c r="D5" s="276"/>
      <c r="N5" s="212"/>
    </row>
    <row r="6" spans="2:14" x14ac:dyDescent="0.3">
      <c r="N6" s="212"/>
    </row>
    <row r="7" spans="2:14" x14ac:dyDescent="0.3">
      <c r="B7" s="278" t="s">
        <v>275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80"/>
    </row>
    <row r="8" spans="2:14" x14ac:dyDescent="0.3">
      <c r="N8" s="212"/>
    </row>
    <row r="9" spans="2:14" x14ac:dyDescent="0.3">
      <c r="B9" s="316" t="s">
        <v>276</v>
      </c>
      <c r="C9" s="318" t="s">
        <v>277</v>
      </c>
      <c r="D9" s="309" t="s">
        <v>278</v>
      </c>
      <c r="E9" s="310"/>
      <c r="F9" s="310"/>
      <c r="G9" s="310"/>
      <c r="H9" s="310"/>
      <c r="I9" s="310"/>
      <c r="J9" s="310"/>
      <c r="K9" s="311" t="s">
        <v>279</v>
      </c>
      <c r="L9" s="203"/>
      <c r="M9" s="203"/>
      <c r="N9" s="228"/>
    </row>
    <row r="10" spans="2:14" x14ac:dyDescent="0.3">
      <c r="B10" s="317"/>
      <c r="C10" s="319"/>
      <c r="D10" s="214">
        <v>1.2</v>
      </c>
      <c r="E10" s="214">
        <v>1.3</v>
      </c>
      <c r="F10" s="214">
        <v>1.4</v>
      </c>
      <c r="G10" s="214">
        <v>2.2999999999999998</v>
      </c>
      <c r="H10" s="214">
        <v>3.4</v>
      </c>
      <c r="I10" s="214">
        <v>3.5</v>
      </c>
      <c r="J10" s="215">
        <v>4.5</v>
      </c>
      <c r="K10" s="311"/>
      <c r="L10" s="133"/>
      <c r="M10" s="133"/>
      <c r="N10" s="228"/>
    </row>
    <row r="11" spans="2:14" x14ac:dyDescent="0.3">
      <c r="B11" s="313">
        <v>22</v>
      </c>
      <c r="C11" s="225" t="s">
        <v>280</v>
      </c>
      <c r="D11" s="12">
        <v>9</v>
      </c>
      <c r="E11" s="12">
        <v>18</v>
      </c>
      <c r="F11" s="12">
        <v>21</v>
      </c>
      <c r="G11" s="12">
        <v>7</v>
      </c>
      <c r="H11" s="12">
        <v>12</v>
      </c>
      <c r="I11" s="12">
        <v>19</v>
      </c>
      <c r="J11" s="206">
        <v>20</v>
      </c>
      <c r="K11" s="312">
        <v>33</v>
      </c>
      <c r="L11" s="62"/>
      <c r="M11" s="62"/>
      <c r="N11" s="131"/>
    </row>
    <row r="12" spans="2:14" x14ac:dyDescent="0.3">
      <c r="B12" s="314"/>
      <c r="C12" s="225" t="s">
        <v>281</v>
      </c>
      <c r="D12" s="12">
        <v>6</v>
      </c>
      <c r="E12" s="12">
        <v>14</v>
      </c>
      <c r="F12" s="12">
        <v>18</v>
      </c>
      <c r="G12" s="12">
        <v>4</v>
      </c>
      <c r="H12" s="12">
        <v>9</v>
      </c>
      <c r="I12" s="12">
        <v>15</v>
      </c>
      <c r="J12" s="206">
        <v>16</v>
      </c>
      <c r="K12" s="312"/>
      <c r="L12" s="62"/>
      <c r="M12" s="62"/>
      <c r="N12" s="131"/>
    </row>
    <row r="13" spans="2:14" x14ac:dyDescent="0.3">
      <c r="B13" s="315"/>
      <c r="C13" s="225" t="s">
        <v>282</v>
      </c>
      <c r="D13" s="12">
        <v>0.2</v>
      </c>
      <c r="E13" s="12">
        <v>0.25</v>
      </c>
      <c r="F13" s="12">
        <v>0.15</v>
      </c>
      <c r="G13" s="12">
        <v>0.4</v>
      </c>
      <c r="H13" s="12">
        <v>0.3</v>
      </c>
      <c r="I13" s="12">
        <v>0.12</v>
      </c>
      <c r="J13" s="206">
        <v>0.2</v>
      </c>
      <c r="K13" s="312"/>
      <c r="L13" s="62"/>
      <c r="M13" s="62"/>
      <c r="N13" s="131"/>
    </row>
    <row r="14" spans="2:14" ht="15" thickBot="1" x14ac:dyDescent="0.35">
      <c r="B14" s="203"/>
      <c r="C14" s="203"/>
      <c r="D14" s="203"/>
      <c r="E14" s="203"/>
      <c r="F14" s="203"/>
      <c r="G14" s="203"/>
      <c r="H14" s="203"/>
      <c r="I14" s="203"/>
      <c r="J14" s="133"/>
      <c r="K14" s="133"/>
      <c r="L14" s="133"/>
      <c r="M14" s="207"/>
      <c r="N14" s="212"/>
    </row>
    <row r="15" spans="2:14" ht="15" thickBot="1" x14ac:dyDescent="0.35">
      <c r="B15" s="216" t="s">
        <v>283</v>
      </c>
      <c r="C15" s="217">
        <v>1</v>
      </c>
      <c r="D15" s="218">
        <v>2</v>
      </c>
      <c r="E15" s="218">
        <v>3</v>
      </c>
      <c r="F15" s="218">
        <v>4</v>
      </c>
      <c r="G15" s="219">
        <v>5</v>
      </c>
      <c r="H15" s="131"/>
      <c r="I15" s="130"/>
      <c r="J15" s="133"/>
      <c r="K15" s="133"/>
      <c r="L15" s="133"/>
      <c r="M15" s="207"/>
      <c r="N15" s="212"/>
    </row>
    <row r="16" spans="2:14" x14ac:dyDescent="0.3">
      <c r="B16" s="242" t="s">
        <v>284</v>
      </c>
      <c r="C16" s="246">
        <v>0</v>
      </c>
      <c r="D16" s="248">
        <v>9</v>
      </c>
      <c r="E16" s="248">
        <v>18</v>
      </c>
      <c r="F16" s="248">
        <v>30</v>
      </c>
      <c r="G16" s="250">
        <v>50</v>
      </c>
      <c r="H16" s="131"/>
      <c r="I16" s="130"/>
      <c r="J16" s="130"/>
      <c r="K16" s="130"/>
      <c r="L16" s="130"/>
      <c r="M16" s="130"/>
      <c r="N16" s="130"/>
    </row>
    <row r="17" spans="2:14" x14ac:dyDescent="0.3">
      <c r="B17" s="242"/>
      <c r="C17" s="247"/>
      <c r="D17" s="249"/>
      <c r="E17" s="249"/>
      <c r="F17" s="249"/>
      <c r="G17" s="251"/>
      <c r="H17" s="131"/>
      <c r="I17" s="130"/>
      <c r="J17" s="130"/>
      <c r="K17" s="130"/>
      <c r="L17" s="130"/>
      <c r="M17" s="130"/>
      <c r="N17" s="130"/>
    </row>
    <row r="18" spans="2:14" x14ac:dyDescent="0.3">
      <c r="B18" s="242" t="s">
        <v>285</v>
      </c>
      <c r="C18" s="244">
        <v>0</v>
      </c>
      <c r="D18" s="238">
        <v>11</v>
      </c>
      <c r="E18" s="238">
        <v>18</v>
      </c>
      <c r="F18" s="238">
        <v>30</v>
      </c>
      <c r="G18" s="240">
        <v>50</v>
      </c>
      <c r="H18" s="131"/>
      <c r="I18" s="130"/>
      <c r="J18" s="130"/>
      <c r="K18" s="130"/>
      <c r="L18" s="130"/>
      <c r="M18" s="130"/>
      <c r="N18" s="130"/>
    </row>
    <row r="19" spans="2:14" ht="15" thickBot="1" x14ac:dyDescent="0.35">
      <c r="B19" s="243"/>
      <c r="C19" s="245"/>
      <c r="D19" s="239"/>
      <c r="E19" s="239"/>
      <c r="F19" s="239"/>
      <c r="G19" s="241"/>
      <c r="H19" s="131"/>
      <c r="I19" s="130"/>
      <c r="J19" s="130"/>
      <c r="K19" s="130"/>
      <c r="L19" s="130"/>
      <c r="M19" s="130"/>
      <c r="N19" s="130"/>
    </row>
    <row r="20" spans="2:14" x14ac:dyDescent="0.3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</row>
    <row r="21" spans="2:14" ht="14.4" customHeight="1" x14ac:dyDescent="0.3">
      <c r="B21" s="281" t="s">
        <v>306</v>
      </c>
      <c r="C21" s="281"/>
      <c r="D21" s="281"/>
      <c r="E21" s="281"/>
      <c r="F21" s="281"/>
      <c r="G21" s="281"/>
      <c r="H21" s="281"/>
      <c r="I21" s="281"/>
      <c r="J21" s="130"/>
      <c r="K21" s="130"/>
      <c r="L21" s="130"/>
      <c r="M21" s="130"/>
      <c r="N21" s="130"/>
    </row>
    <row r="22" spans="2:14" ht="14.4" customHeight="1" thickBot="1" x14ac:dyDescent="0.35"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130"/>
      <c r="M22" s="130"/>
      <c r="N22" s="130"/>
    </row>
    <row r="23" spans="2:14" ht="23.4" customHeight="1" thickBot="1" x14ac:dyDescent="0.35">
      <c r="B23" s="288" t="s">
        <v>307</v>
      </c>
      <c r="C23" s="289"/>
      <c r="D23" s="289"/>
      <c r="E23" s="289"/>
      <c r="F23" s="289"/>
      <c r="G23" s="289"/>
      <c r="H23" s="289"/>
      <c r="I23" s="290"/>
      <c r="L23" s="130"/>
      <c r="M23" s="130"/>
      <c r="N23" s="130"/>
    </row>
    <row r="24" spans="2:14" x14ac:dyDescent="0.3">
      <c r="L24" s="130"/>
      <c r="M24" s="130"/>
      <c r="N24" s="130"/>
    </row>
    <row r="25" spans="2:14" x14ac:dyDescent="0.3">
      <c r="B25" s="281" t="s">
        <v>301</v>
      </c>
      <c r="C25" s="281"/>
      <c r="D25" s="281"/>
      <c r="E25" s="281"/>
      <c r="F25" s="281"/>
      <c r="G25" s="281"/>
      <c r="H25" s="281"/>
      <c r="I25" s="281"/>
      <c r="L25" s="130"/>
      <c r="M25" s="130"/>
      <c r="N25" s="130"/>
    </row>
    <row r="26" spans="2:14" ht="15" thickBot="1" x14ac:dyDescent="0.35">
      <c r="L26" s="130"/>
      <c r="M26" s="130"/>
      <c r="N26" s="130"/>
    </row>
    <row r="27" spans="2:14" ht="23.4" customHeight="1" thickBot="1" x14ac:dyDescent="0.35">
      <c r="B27" s="291" t="s">
        <v>308</v>
      </c>
      <c r="C27" s="292"/>
      <c r="D27" s="292"/>
      <c r="E27" s="292"/>
      <c r="F27" s="292"/>
      <c r="G27" s="292"/>
      <c r="H27" s="292"/>
      <c r="I27" s="293"/>
      <c r="L27" s="130"/>
      <c r="M27" s="130"/>
      <c r="N27" s="130"/>
    </row>
    <row r="28" spans="2:14" x14ac:dyDescent="0.3">
      <c r="L28" s="130"/>
      <c r="M28" s="130"/>
      <c r="N28" s="130"/>
    </row>
    <row r="29" spans="2:14" x14ac:dyDescent="0.3">
      <c r="B29" s="257" t="s">
        <v>302</v>
      </c>
      <c r="C29" s="258"/>
      <c r="D29" s="258"/>
      <c r="E29" s="258"/>
      <c r="F29" s="258"/>
      <c r="G29" s="258"/>
      <c r="H29" s="258"/>
      <c r="I29" s="259"/>
      <c r="L29" s="130"/>
      <c r="M29" s="130"/>
      <c r="N29" s="130"/>
    </row>
    <row r="30" spans="2:14" ht="15" thickBot="1" x14ac:dyDescent="0.35">
      <c r="L30" s="130"/>
      <c r="M30" s="130"/>
      <c r="N30" s="130"/>
    </row>
    <row r="31" spans="2:14" ht="18.600000000000001" customHeight="1" x14ac:dyDescent="0.3">
      <c r="B31" s="294" t="s">
        <v>309</v>
      </c>
      <c r="C31" s="295"/>
      <c r="D31" s="295"/>
      <c r="E31" s="295"/>
      <c r="F31" s="295"/>
      <c r="G31" s="295"/>
      <c r="H31" s="295"/>
      <c r="I31" s="296"/>
      <c r="J31" s="62"/>
      <c r="K31" s="62"/>
      <c r="L31" s="62"/>
      <c r="M31" s="130"/>
      <c r="N31" s="130"/>
    </row>
    <row r="32" spans="2:14" ht="18.600000000000001" customHeight="1" x14ac:dyDescent="0.3">
      <c r="B32" s="297" t="s">
        <v>310</v>
      </c>
      <c r="C32" s="298"/>
      <c r="D32" s="298"/>
      <c r="E32" s="298"/>
      <c r="F32" s="298"/>
      <c r="G32" s="298"/>
      <c r="H32" s="298"/>
      <c r="I32" s="299"/>
      <c r="L32" s="130"/>
      <c r="M32" s="130"/>
      <c r="N32" s="130"/>
    </row>
    <row r="33" spans="2:20" ht="18.600000000000001" customHeight="1" x14ac:dyDescent="0.3">
      <c r="B33" s="297" t="s">
        <v>311</v>
      </c>
      <c r="C33" s="298"/>
      <c r="D33" s="298"/>
      <c r="E33" s="298"/>
      <c r="F33" s="298"/>
      <c r="G33" s="298"/>
      <c r="H33" s="298"/>
      <c r="I33" s="299"/>
    </row>
    <row r="34" spans="2:20" ht="18.600000000000001" customHeight="1" x14ac:dyDescent="0.3">
      <c r="B34" s="297" t="s">
        <v>312</v>
      </c>
      <c r="C34" s="298"/>
      <c r="D34" s="298"/>
      <c r="E34" s="298"/>
      <c r="F34" s="298"/>
      <c r="G34" s="298"/>
      <c r="H34" s="298"/>
      <c r="I34" s="299"/>
    </row>
    <row r="35" spans="2:20" ht="19.8" customHeight="1" x14ac:dyDescent="0.4">
      <c r="B35" s="300" t="s">
        <v>313</v>
      </c>
      <c r="C35" s="301"/>
      <c r="D35" s="301"/>
      <c r="E35" s="301"/>
      <c r="F35" s="301"/>
      <c r="G35" s="301"/>
      <c r="H35" s="301"/>
      <c r="I35" s="302"/>
    </row>
    <row r="36" spans="2:20" ht="18.600000000000001" customHeight="1" x14ac:dyDescent="0.3">
      <c r="B36" s="297" t="s">
        <v>314</v>
      </c>
      <c r="C36" s="298"/>
      <c r="D36" s="298"/>
      <c r="E36" s="298"/>
      <c r="F36" s="298"/>
      <c r="G36" s="298"/>
      <c r="H36" s="298"/>
      <c r="I36" s="299"/>
    </row>
    <row r="37" spans="2:20" ht="18.600000000000001" customHeight="1" x14ac:dyDescent="0.3">
      <c r="B37" s="297" t="s">
        <v>315</v>
      </c>
      <c r="C37" s="298"/>
      <c r="D37" s="298"/>
      <c r="E37" s="298"/>
      <c r="F37" s="298"/>
      <c r="G37" s="298"/>
      <c r="H37" s="298"/>
      <c r="I37" s="299"/>
    </row>
    <row r="38" spans="2:20" ht="18.600000000000001" customHeight="1" thickBot="1" x14ac:dyDescent="0.35">
      <c r="B38" s="303" t="s">
        <v>303</v>
      </c>
      <c r="C38" s="304"/>
      <c r="D38" s="304"/>
      <c r="E38" s="304"/>
      <c r="F38" s="304"/>
      <c r="G38" s="304"/>
      <c r="H38" s="304"/>
      <c r="I38" s="305"/>
    </row>
    <row r="40" spans="2:20" x14ac:dyDescent="0.3">
      <c r="B40" s="281" t="s">
        <v>293</v>
      </c>
      <c r="C40" s="281"/>
      <c r="D40" s="281"/>
      <c r="E40" s="281"/>
      <c r="F40" s="281"/>
      <c r="G40" s="281"/>
      <c r="H40" s="281"/>
      <c r="I40" s="281"/>
    </row>
    <row r="41" spans="2:20" ht="15" thickBot="1" x14ac:dyDescent="0.35"/>
    <row r="42" spans="2:20" ht="16.8" x14ac:dyDescent="0.3">
      <c r="B42" s="306" t="s">
        <v>316</v>
      </c>
      <c r="C42" s="307"/>
      <c r="D42" s="307"/>
      <c r="E42" s="307"/>
      <c r="F42" s="307"/>
      <c r="G42" s="307"/>
      <c r="H42" s="307"/>
      <c r="I42" s="308"/>
      <c r="K42" s="228"/>
      <c r="L42" s="228"/>
      <c r="M42" s="228"/>
      <c r="N42" s="228"/>
      <c r="O42" s="228"/>
      <c r="P42" s="228"/>
      <c r="Q42" s="228"/>
      <c r="R42" s="228"/>
      <c r="S42" s="228"/>
      <c r="T42" s="228"/>
    </row>
    <row r="43" spans="2:20" ht="16.8" x14ac:dyDescent="0.3">
      <c r="B43" s="282" t="s">
        <v>317</v>
      </c>
      <c r="C43" s="283"/>
      <c r="D43" s="283"/>
      <c r="E43" s="283"/>
      <c r="F43" s="283"/>
      <c r="G43" s="283"/>
      <c r="H43" s="283"/>
      <c r="I43" s="284"/>
      <c r="K43" s="228"/>
      <c r="L43" s="228"/>
      <c r="M43" s="228"/>
      <c r="N43" s="228"/>
      <c r="O43" s="228"/>
      <c r="P43" s="228"/>
      <c r="Q43" s="228"/>
      <c r="R43" s="228"/>
      <c r="S43" s="228"/>
      <c r="T43" s="228"/>
    </row>
    <row r="44" spans="2:20" ht="16.8" x14ac:dyDescent="0.3">
      <c r="B44" s="282" t="s">
        <v>318</v>
      </c>
      <c r="C44" s="283"/>
      <c r="D44" s="283"/>
      <c r="E44" s="283"/>
      <c r="F44" s="283"/>
      <c r="G44" s="283"/>
      <c r="H44" s="283"/>
      <c r="I44" s="284"/>
      <c r="K44" s="228"/>
      <c r="L44" s="228"/>
      <c r="M44" s="228"/>
      <c r="N44" s="228"/>
      <c r="O44" s="228"/>
      <c r="P44" s="228"/>
      <c r="Q44" s="228"/>
      <c r="R44" s="228"/>
      <c r="S44" s="228"/>
      <c r="T44" s="228"/>
    </row>
    <row r="45" spans="2:20" ht="16.8" x14ac:dyDescent="0.3">
      <c r="B45" s="282" t="s">
        <v>319</v>
      </c>
      <c r="C45" s="283"/>
      <c r="D45" s="283"/>
      <c r="E45" s="283"/>
      <c r="F45" s="283"/>
      <c r="G45" s="283"/>
      <c r="H45" s="283"/>
      <c r="I45" s="284"/>
      <c r="K45" s="228"/>
      <c r="L45" s="228"/>
      <c r="M45" s="228"/>
      <c r="N45" s="228"/>
      <c r="O45" s="228"/>
      <c r="P45" s="228"/>
      <c r="Q45" s="228"/>
      <c r="R45" s="228"/>
      <c r="S45" s="228"/>
      <c r="T45" s="228"/>
    </row>
    <row r="46" spans="2:20" ht="16.8" x14ac:dyDescent="0.3">
      <c r="B46" s="282" t="s">
        <v>320</v>
      </c>
      <c r="C46" s="283"/>
      <c r="D46" s="283"/>
      <c r="E46" s="283"/>
      <c r="F46" s="283"/>
      <c r="G46" s="283"/>
      <c r="H46" s="283"/>
      <c r="I46" s="284"/>
      <c r="K46" s="228"/>
      <c r="L46" s="228"/>
      <c r="M46" s="228"/>
      <c r="N46" s="228"/>
      <c r="O46" s="228"/>
      <c r="P46" s="228"/>
      <c r="Q46" s="228"/>
      <c r="R46" s="228"/>
      <c r="S46" s="228"/>
      <c r="T46" s="228"/>
    </row>
    <row r="47" spans="2:20" ht="16.8" x14ac:dyDescent="0.3">
      <c r="B47" s="282" t="s">
        <v>321</v>
      </c>
      <c r="C47" s="283"/>
      <c r="D47" s="283"/>
      <c r="E47" s="283"/>
      <c r="F47" s="283"/>
      <c r="G47" s="283"/>
      <c r="H47" s="283"/>
      <c r="I47" s="284"/>
    </row>
    <row r="48" spans="2:20" ht="17.399999999999999" thickBot="1" x14ac:dyDescent="0.35">
      <c r="B48" s="285" t="s">
        <v>322</v>
      </c>
      <c r="C48" s="286"/>
      <c r="D48" s="286"/>
      <c r="E48" s="286"/>
      <c r="F48" s="286"/>
      <c r="G48" s="286"/>
      <c r="H48" s="286"/>
      <c r="I48" s="287"/>
    </row>
    <row r="50" spans="2:9" x14ac:dyDescent="0.3">
      <c r="B50" s="281" t="s">
        <v>304</v>
      </c>
      <c r="C50" s="281"/>
      <c r="D50" s="281"/>
      <c r="E50" s="281"/>
      <c r="F50" s="281"/>
      <c r="G50" s="281"/>
      <c r="H50" s="281"/>
      <c r="I50" s="281"/>
    </row>
    <row r="51" spans="2:9" ht="15" thickBot="1" x14ac:dyDescent="0.35"/>
    <row r="52" spans="2:9" ht="15.6" customHeight="1" x14ac:dyDescent="0.3">
      <c r="B52" s="260"/>
      <c r="C52" s="261"/>
      <c r="D52" s="261"/>
      <c r="E52" s="261"/>
      <c r="F52" s="261"/>
      <c r="G52" s="261"/>
      <c r="H52" s="261"/>
      <c r="I52" s="262"/>
    </row>
    <row r="53" spans="2:9" ht="15.6" customHeight="1" x14ac:dyDescent="0.3">
      <c r="B53" s="263"/>
      <c r="C53" s="264"/>
      <c r="D53" s="264"/>
      <c r="E53" s="264"/>
      <c r="F53" s="264"/>
      <c r="G53" s="264"/>
      <c r="H53" s="264"/>
      <c r="I53" s="265"/>
    </row>
    <row r="54" spans="2:9" x14ac:dyDescent="0.3">
      <c r="B54" s="263"/>
      <c r="C54" s="264"/>
      <c r="D54" s="264"/>
      <c r="E54" s="264"/>
      <c r="F54" s="264"/>
      <c r="G54" s="264"/>
      <c r="H54" s="264"/>
      <c r="I54" s="265"/>
    </row>
    <row r="55" spans="2:9" x14ac:dyDescent="0.3">
      <c r="B55" s="263"/>
      <c r="C55" s="264"/>
      <c r="D55" s="264"/>
      <c r="E55" s="264"/>
      <c r="F55" s="264"/>
      <c r="G55" s="264"/>
      <c r="H55" s="264"/>
      <c r="I55" s="265"/>
    </row>
    <row r="56" spans="2:9" x14ac:dyDescent="0.3">
      <c r="B56" s="263"/>
      <c r="C56" s="264"/>
      <c r="D56" s="264"/>
      <c r="E56" s="264"/>
      <c r="F56" s="264"/>
      <c r="G56" s="264"/>
      <c r="H56" s="264"/>
      <c r="I56" s="265"/>
    </row>
    <row r="57" spans="2:9" x14ac:dyDescent="0.3">
      <c r="B57" s="263"/>
      <c r="C57" s="264"/>
      <c r="D57" s="264"/>
      <c r="E57" s="264"/>
      <c r="F57" s="264"/>
      <c r="G57" s="264"/>
      <c r="H57" s="264"/>
      <c r="I57" s="265"/>
    </row>
    <row r="58" spans="2:9" ht="15" thickBot="1" x14ac:dyDescent="0.35">
      <c r="B58" s="266"/>
      <c r="C58" s="267"/>
      <c r="D58" s="267"/>
      <c r="E58" s="267"/>
      <c r="F58" s="267"/>
      <c r="G58" s="267"/>
      <c r="H58" s="267"/>
      <c r="I58" s="268"/>
    </row>
    <row r="61" spans="2:9" x14ac:dyDescent="0.3">
      <c r="B61" s="257" t="s">
        <v>305</v>
      </c>
      <c r="C61" s="258"/>
      <c r="D61" s="258"/>
      <c r="E61" s="258"/>
      <c r="F61" s="258"/>
      <c r="G61" s="258"/>
      <c r="H61" s="258"/>
      <c r="I61" s="259"/>
    </row>
    <row r="62" spans="2:9" ht="15" thickBot="1" x14ac:dyDescent="0.35"/>
    <row r="63" spans="2:9" x14ac:dyDescent="0.3">
      <c r="B63" s="260"/>
      <c r="C63" s="261"/>
      <c r="D63" s="261"/>
      <c r="E63" s="261"/>
      <c r="F63" s="261"/>
      <c r="G63" s="261"/>
      <c r="H63" s="261"/>
      <c r="I63" s="262"/>
    </row>
    <row r="64" spans="2:9" ht="15" thickBot="1" x14ac:dyDescent="0.35">
      <c r="B64" s="266"/>
      <c r="C64" s="267"/>
      <c r="D64" s="267"/>
      <c r="E64" s="267"/>
      <c r="F64" s="267"/>
      <c r="G64" s="267"/>
      <c r="H64" s="267"/>
      <c r="I64" s="268"/>
    </row>
    <row r="66" spans="2:13" ht="15" thickBot="1" x14ac:dyDescent="0.35"/>
    <row r="67" spans="2:13" ht="15" thickBot="1" x14ac:dyDescent="0.35">
      <c r="B67" s="254" t="s">
        <v>294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6"/>
    </row>
    <row r="69" spans="2:13" x14ac:dyDescent="0.3">
      <c r="B69" s="221" t="s">
        <v>286</v>
      </c>
      <c r="E69" s="213" t="s">
        <v>295</v>
      </c>
      <c r="F69" s="213" t="s">
        <v>296</v>
      </c>
      <c r="G69" s="213" t="s">
        <v>297</v>
      </c>
      <c r="H69" s="227" t="s">
        <v>280</v>
      </c>
      <c r="J69" s="224" t="s">
        <v>281</v>
      </c>
      <c r="K69" s="223" t="s">
        <v>299</v>
      </c>
      <c r="L69" s="226" t="s">
        <v>282</v>
      </c>
      <c r="M69" s="227" t="s">
        <v>300</v>
      </c>
    </row>
    <row r="70" spans="2:13" x14ac:dyDescent="0.3">
      <c r="B70" s="221" t="s">
        <v>287</v>
      </c>
      <c r="E70" s="213">
        <v>0</v>
      </c>
      <c r="F70" s="213">
        <v>9</v>
      </c>
      <c r="G70" s="213">
        <v>0</v>
      </c>
      <c r="H70" s="12">
        <f>F70-E70</f>
        <v>9</v>
      </c>
      <c r="I70" s="1" t="s">
        <v>298</v>
      </c>
      <c r="J70" s="225">
        <v>5</v>
      </c>
      <c r="K70" s="109">
        <v>9</v>
      </c>
      <c r="L70" s="230">
        <v>0.2</v>
      </c>
      <c r="M70" s="12">
        <f>K70-L70*G70</f>
        <v>9</v>
      </c>
    </row>
    <row r="71" spans="2:13" x14ac:dyDescent="0.3">
      <c r="B71" s="221" t="s">
        <v>288</v>
      </c>
      <c r="E71" s="213">
        <v>0</v>
      </c>
      <c r="F71" s="213">
        <v>16</v>
      </c>
      <c r="G71" s="213">
        <v>8</v>
      </c>
      <c r="H71" s="12">
        <f t="shared" ref="H71:H77" si="0">F71-E71</f>
        <v>16</v>
      </c>
      <c r="I71" s="1" t="s">
        <v>298</v>
      </c>
      <c r="J71" s="225">
        <v>9</v>
      </c>
      <c r="K71" s="109">
        <v>18</v>
      </c>
      <c r="L71" s="230">
        <v>0.25</v>
      </c>
      <c r="M71" s="12">
        <f>K71-L71*G71</f>
        <v>16</v>
      </c>
    </row>
    <row r="72" spans="2:13" x14ac:dyDescent="0.3">
      <c r="B72" s="221" t="s">
        <v>289</v>
      </c>
      <c r="E72" s="213">
        <v>0</v>
      </c>
      <c r="F72" s="213">
        <v>21</v>
      </c>
      <c r="G72" s="213">
        <v>0</v>
      </c>
      <c r="H72" s="12">
        <f t="shared" si="0"/>
        <v>21</v>
      </c>
      <c r="I72" s="1" t="s">
        <v>298</v>
      </c>
      <c r="J72" s="225">
        <v>11</v>
      </c>
      <c r="K72" s="109">
        <v>21</v>
      </c>
      <c r="L72" s="230">
        <v>0.15</v>
      </c>
      <c r="M72" s="12">
        <f t="shared" ref="M72:M76" si="1">K72-L72*G72</f>
        <v>21</v>
      </c>
    </row>
    <row r="73" spans="2:13" x14ac:dyDescent="0.3">
      <c r="B73" s="221" t="s">
        <v>323</v>
      </c>
      <c r="E73" s="222">
        <v>9</v>
      </c>
      <c r="F73" s="222">
        <v>16</v>
      </c>
      <c r="G73" s="213">
        <v>0</v>
      </c>
      <c r="H73" s="12">
        <f t="shared" si="0"/>
        <v>7</v>
      </c>
      <c r="I73" s="1" t="s">
        <v>298</v>
      </c>
      <c r="J73" s="225">
        <v>6</v>
      </c>
      <c r="K73" s="109">
        <v>7</v>
      </c>
      <c r="L73" s="230">
        <v>0.4</v>
      </c>
      <c r="M73" s="12">
        <f t="shared" si="1"/>
        <v>7</v>
      </c>
    </row>
    <row r="74" spans="2:13" x14ac:dyDescent="0.3">
      <c r="B74" s="221" t="s">
        <v>290</v>
      </c>
      <c r="E74" s="222">
        <v>16</v>
      </c>
      <c r="F74" s="222">
        <v>25</v>
      </c>
      <c r="G74" s="213">
        <v>9.9999999999999769</v>
      </c>
      <c r="H74" s="12">
        <f t="shared" si="0"/>
        <v>9</v>
      </c>
      <c r="I74" s="1" t="s">
        <v>298</v>
      </c>
      <c r="J74" s="225">
        <v>9</v>
      </c>
      <c r="K74" s="109">
        <v>12</v>
      </c>
      <c r="L74" s="230">
        <v>0.3</v>
      </c>
      <c r="M74" s="12">
        <f t="shared" si="1"/>
        <v>9.0000000000000071</v>
      </c>
    </row>
    <row r="75" spans="2:13" x14ac:dyDescent="0.3">
      <c r="B75" s="221" t="s">
        <v>324</v>
      </c>
      <c r="C75" s="60"/>
      <c r="E75" s="213">
        <v>16</v>
      </c>
      <c r="F75" s="213">
        <v>35</v>
      </c>
      <c r="G75" s="213">
        <v>0</v>
      </c>
      <c r="H75" s="12">
        <f t="shared" si="0"/>
        <v>19</v>
      </c>
      <c r="I75" s="1" t="s">
        <v>298</v>
      </c>
      <c r="J75" s="225">
        <v>12</v>
      </c>
      <c r="K75" s="109">
        <v>19</v>
      </c>
      <c r="L75" s="230">
        <v>0.12</v>
      </c>
      <c r="M75" s="12">
        <f t="shared" si="1"/>
        <v>19</v>
      </c>
    </row>
    <row r="76" spans="2:13" x14ac:dyDescent="0.3">
      <c r="B76" s="221" t="s">
        <v>291</v>
      </c>
      <c r="C76" s="60"/>
      <c r="E76" s="213">
        <v>25</v>
      </c>
      <c r="F76" s="213">
        <v>42</v>
      </c>
      <c r="G76" s="213">
        <v>15.000000000000021</v>
      </c>
      <c r="H76" s="12">
        <f t="shared" si="0"/>
        <v>17</v>
      </c>
      <c r="I76" s="1" t="s">
        <v>298</v>
      </c>
      <c r="J76" s="225">
        <v>7</v>
      </c>
      <c r="K76" s="237">
        <v>20</v>
      </c>
      <c r="L76" s="231">
        <v>0.2</v>
      </c>
      <c r="M76" s="12">
        <f t="shared" si="1"/>
        <v>16.999999999999996</v>
      </c>
    </row>
    <row r="77" spans="2:13" x14ac:dyDescent="0.3">
      <c r="B77" s="221" t="s">
        <v>292</v>
      </c>
      <c r="C77" s="60"/>
      <c r="D77" s="1"/>
      <c r="E77" s="213">
        <v>42</v>
      </c>
      <c r="F77" s="213">
        <v>42</v>
      </c>
      <c r="G77" s="222">
        <v>0</v>
      </c>
      <c r="H77" s="12">
        <f t="shared" si="0"/>
        <v>0</v>
      </c>
      <c r="I77" s="1" t="s">
        <v>298</v>
      </c>
      <c r="J77" s="225">
        <v>0</v>
      </c>
      <c r="K77" s="220">
        <v>0</v>
      </c>
      <c r="L77" s="231">
        <v>0</v>
      </c>
      <c r="M77" s="12">
        <f>K77-L77*G77</f>
        <v>0</v>
      </c>
    </row>
    <row r="79" spans="2:13" ht="15" thickBot="1" x14ac:dyDescent="0.35"/>
    <row r="80" spans="2:13" ht="15" thickBot="1" x14ac:dyDescent="0.35">
      <c r="H80" s="254" t="s">
        <v>326</v>
      </c>
      <c r="I80" s="255"/>
      <c r="J80" s="256"/>
      <c r="L80" s="232">
        <f>SUM(G70:G77)</f>
        <v>33</v>
      </c>
    </row>
    <row r="81" spans="2:12" ht="15" thickBot="1" x14ac:dyDescent="0.35"/>
    <row r="82" spans="2:12" ht="15" thickBot="1" x14ac:dyDescent="0.35">
      <c r="H82" s="254" t="s">
        <v>325</v>
      </c>
      <c r="I82" s="255"/>
      <c r="J82" s="256"/>
      <c r="L82" s="2">
        <f>F77</f>
        <v>42</v>
      </c>
    </row>
    <row r="84" spans="2:12" ht="15" thickBot="1" x14ac:dyDescent="0.35"/>
    <row r="85" spans="2:12" ht="15" thickBot="1" x14ac:dyDescent="0.35">
      <c r="B85" s="216" t="s">
        <v>283</v>
      </c>
      <c r="C85" s="217">
        <v>1</v>
      </c>
      <c r="D85" s="218">
        <v>2</v>
      </c>
      <c r="E85" s="218">
        <v>3</v>
      </c>
      <c r="F85" s="218">
        <v>4</v>
      </c>
      <c r="G85" s="219">
        <v>5</v>
      </c>
    </row>
    <row r="86" spans="2:12" x14ac:dyDescent="0.3">
      <c r="B86" s="242" t="s">
        <v>284</v>
      </c>
      <c r="C86" s="246">
        <v>0</v>
      </c>
      <c r="D86" s="248">
        <v>9</v>
      </c>
      <c r="E86" s="248">
        <v>16</v>
      </c>
      <c r="F86" s="248">
        <v>25</v>
      </c>
      <c r="G86" s="250">
        <v>42</v>
      </c>
    </row>
    <row r="87" spans="2:12" x14ac:dyDescent="0.3">
      <c r="B87" s="242"/>
      <c r="C87" s="247"/>
      <c r="D87" s="249"/>
      <c r="E87" s="249"/>
      <c r="F87" s="249"/>
      <c r="G87" s="251"/>
    </row>
    <row r="88" spans="2:12" x14ac:dyDescent="0.3">
      <c r="B88" s="242" t="s">
        <v>285</v>
      </c>
      <c r="C88" s="244">
        <v>0</v>
      </c>
      <c r="D88" s="238">
        <v>9</v>
      </c>
      <c r="E88" s="238">
        <v>16</v>
      </c>
      <c r="F88" s="238">
        <v>25</v>
      </c>
      <c r="G88" s="240">
        <v>42</v>
      </c>
    </row>
    <row r="89" spans="2:12" ht="15" thickBot="1" x14ac:dyDescent="0.35">
      <c r="B89" s="243"/>
      <c r="C89" s="245"/>
      <c r="D89" s="239"/>
      <c r="E89" s="239"/>
      <c r="F89" s="239"/>
      <c r="G89" s="241"/>
    </row>
  </sheetData>
  <mergeCells count="62">
    <mergeCell ref="B3:D3"/>
    <mergeCell ref="B4:D4"/>
    <mergeCell ref="B5:D5"/>
    <mergeCell ref="B7:N7"/>
    <mergeCell ref="B9:B10"/>
    <mergeCell ref="C9:C10"/>
    <mergeCell ref="D9:J9"/>
    <mergeCell ref="K9:K10"/>
    <mergeCell ref="K11:K13"/>
    <mergeCell ref="B18:B19"/>
    <mergeCell ref="C18:C19"/>
    <mergeCell ref="D18:D19"/>
    <mergeCell ref="E18:E19"/>
    <mergeCell ref="F18:F19"/>
    <mergeCell ref="G18:G19"/>
    <mergeCell ref="B11:B13"/>
    <mergeCell ref="B16:B17"/>
    <mergeCell ref="C16:C17"/>
    <mergeCell ref="D16:D17"/>
    <mergeCell ref="E16:E17"/>
    <mergeCell ref="F16:F17"/>
    <mergeCell ref="G16:G17"/>
    <mergeCell ref="B36:I36"/>
    <mergeCell ref="B37:I37"/>
    <mergeCell ref="B43:I43"/>
    <mergeCell ref="B44:I44"/>
    <mergeCell ref="B38:I38"/>
    <mergeCell ref="B40:I40"/>
    <mergeCell ref="B42:I42"/>
    <mergeCell ref="B31:I31"/>
    <mergeCell ref="B32:I32"/>
    <mergeCell ref="B33:I33"/>
    <mergeCell ref="B34:I34"/>
    <mergeCell ref="B35:I35"/>
    <mergeCell ref="B21:I21"/>
    <mergeCell ref="B25:I25"/>
    <mergeCell ref="B23:I23"/>
    <mergeCell ref="B27:I27"/>
    <mergeCell ref="B29:I29"/>
    <mergeCell ref="H82:J82"/>
    <mergeCell ref="B50:I50"/>
    <mergeCell ref="B45:I45"/>
    <mergeCell ref="B46:I46"/>
    <mergeCell ref="B47:I47"/>
    <mergeCell ref="B48:I48"/>
    <mergeCell ref="B52:I58"/>
    <mergeCell ref="B61:I61"/>
    <mergeCell ref="B63:I64"/>
    <mergeCell ref="B67:M67"/>
    <mergeCell ref="H80:J80"/>
    <mergeCell ref="G88:G89"/>
    <mergeCell ref="B86:B87"/>
    <mergeCell ref="C86:C87"/>
    <mergeCell ref="D86:D87"/>
    <mergeCell ref="E86:E87"/>
    <mergeCell ref="F86:F87"/>
    <mergeCell ref="G86:G87"/>
    <mergeCell ref="B88:B89"/>
    <mergeCell ref="C88:C89"/>
    <mergeCell ref="D88:D89"/>
    <mergeCell ref="E88:E89"/>
    <mergeCell ref="F88:F8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8"/>
  <sheetViews>
    <sheetView zoomScale="85" zoomScaleNormal="85" workbookViewId="0">
      <selection activeCell="P90" sqref="P90"/>
    </sheetView>
  </sheetViews>
  <sheetFormatPr defaultRowHeight="14.4" x14ac:dyDescent="0.3"/>
  <cols>
    <col min="9" max="9" width="14.88671875" customWidth="1"/>
    <col min="16" max="16" width="11" bestFit="1" customWidth="1"/>
    <col min="20" max="20" width="14.77734375" customWidth="1"/>
    <col min="28" max="28" width="14.5546875" customWidth="1"/>
  </cols>
  <sheetData>
    <row r="2" spans="3:19" x14ac:dyDescent="0.3">
      <c r="C2" s="269" t="s">
        <v>0</v>
      </c>
      <c r="D2" s="270"/>
      <c r="E2" s="271"/>
    </row>
    <row r="3" spans="3:19" x14ac:dyDescent="0.3">
      <c r="C3" s="272">
        <v>351004</v>
      </c>
      <c r="D3" s="326"/>
      <c r="E3" s="273"/>
    </row>
    <row r="4" spans="3:19" x14ac:dyDescent="0.3">
      <c r="C4" s="274" t="s">
        <v>1</v>
      </c>
      <c r="D4" s="275"/>
      <c r="E4" s="276"/>
    </row>
    <row r="8" spans="3:19" x14ac:dyDescent="0.3">
      <c r="C8" s="325" t="s">
        <v>2</v>
      </c>
      <c r="D8" s="325"/>
      <c r="E8" s="325"/>
      <c r="F8" s="325"/>
      <c r="G8" s="325"/>
      <c r="H8" s="325"/>
      <c r="M8" s="325" t="s">
        <v>197</v>
      </c>
      <c r="N8" s="325"/>
      <c r="O8" s="325"/>
      <c r="P8" s="325"/>
      <c r="Q8" s="325"/>
      <c r="R8" s="325"/>
      <c r="S8" s="325"/>
    </row>
    <row r="9" spans="3:19" ht="15" thickBot="1" x14ac:dyDescent="0.35"/>
    <row r="10" spans="3:19" ht="15" customHeight="1" thickBot="1" x14ac:dyDescent="0.35">
      <c r="C10" s="288" t="s">
        <v>4</v>
      </c>
      <c r="D10" s="289"/>
      <c r="E10" s="289"/>
      <c r="F10" s="289"/>
      <c r="G10" s="289"/>
      <c r="H10" s="290"/>
      <c r="M10" s="288" t="s">
        <v>4</v>
      </c>
      <c r="N10" s="289"/>
      <c r="O10" s="289"/>
      <c r="P10" s="289"/>
      <c r="Q10" s="289"/>
      <c r="R10" s="289"/>
      <c r="S10" s="290"/>
    </row>
    <row r="11" spans="3:19" ht="15" thickBot="1" x14ac:dyDescent="0.35">
      <c r="C11" s="1"/>
      <c r="D11" s="1"/>
      <c r="E11" s="1"/>
      <c r="F11" s="1"/>
      <c r="G11" s="1"/>
    </row>
    <row r="12" spans="3:19" ht="15" thickBot="1" x14ac:dyDescent="0.35">
      <c r="C12" s="2" t="s">
        <v>3</v>
      </c>
      <c r="D12" s="3">
        <v>50</v>
      </c>
      <c r="E12" s="4">
        <v>150</v>
      </c>
      <c r="F12" s="4">
        <v>200</v>
      </c>
      <c r="G12" s="5">
        <v>150</v>
      </c>
      <c r="M12" s="2" t="s">
        <v>3</v>
      </c>
      <c r="N12" s="3">
        <v>50</v>
      </c>
      <c r="O12" s="101">
        <v>100</v>
      </c>
      <c r="P12" s="101">
        <v>50</v>
      </c>
      <c r="Q12" s="106">
        <v>100</v>
      </c>
      <c r="R12" s="5">
        <v>150</v>
      </c>
    </row>
    <row r="13" spans="3:19" x14ac:dyDescent="0.3">
      <c r="C13" s="6">
        <v>50</v>
      </c>
      <c r="D13" s="7">
        <v>4</v>
      </c>
      <c r="E13" s="8">
        <v>5</v>
      </c>
      <c r="F13" s="8">
        <v>6</v>
      </c>
      <c r="G13" s="9">
        <v>10</v>
      </c>
      <c r="M13" s="6">
        <v>50</v>
      </c>
      <c r="N13" s="7">
        <v>4</v>
      </c>
      <c r="O13" s="102">
        <v>5</v>
      </c>
      <c r="P13" s="102">
        <v>5</v>
      </c>
      <c r="Q13" s="108">
        <v>6</v>
      </c>
      <c r="R13" s="9">
        <v>10</v>
      </c>
    </row>
    <row r="14" spans="3:19" x14ac:dyDescent="0.3">
      <c r="C14" s="10">
        <v>100</v>
      </c>
      <c r="D14" s="11">
        <v>6</v>
      </c>
      <c r="E14" s="12">
        <v>3</v>
      </c>
      <c r="F14" s="12">
        <v>8</v>
      </c>
      <c r="G14" s="13">
        <v>4</v>
      </c>
      <c r="M14" s="10">
        <v>100</v>
      </c>
      <c r="N14" s="11">
        <v>6</v>
      </c>
      <c r="O14" s="103">
        <v>3</v>
      </c>
      <c r="P14" s="103">
        <v>3</v>
      </c>
      <c r="Q14" s="109">
        <v>8</v>
      </c>
      <c r="R14" s="13">
        <v>4</v>
      </c>
    </row>
    <row r="15" spans="3:19" x14ac:dyDescent="0.3">
      <c r="C15" s="10">
        <v>150</v>
      </c>
      <c r="D15" s="11">
        <v>5</v>
      </c>
      <c r="E15" s="12">
        <v>1</v>
      </c>
      <c r="F15" s="12">
        <v>3</v>
      </c>
      <c r="G15" s="13">
        <v>1</v>
      </c>
      <c r="M15" s="10">
        <v>150</v>
      </c>
      <c r="N15" s="11">
        <v>5</v>
      </c>
      <c r="O15" s="103">
        <v>1</v>
      </c>
      <c r="P15" s="103" t="s">
        <v>198</v>
      </c>
      <c r="Q15" s="109">
        <v>3</v>
      </c>
      <c r="R15" s="13">
        <v>1</v>
      </c>
    </row>
    <row r="16" spans="3:19" x14ac:dyDescent="0.3">
      <c r="C16" s="14">
        <v>150</v>
      </c>
      <c r="D16" s="15">
        <v>7</v>
      </c>
      <c r="E16" s="16">
        <v>2</v>
      </c>
      <c r="F16" s="16">
        <v>4</v>
      </c>
      <c r="G16" s="17">
        <v>2</v>
      </c>
      <c r="M16" s="107">
        <v>50</v>
      </c>
      <c r="N16" s="111">
        <v>7</v>
      </c>
      <c r="O16" s="104">
        <v>2</v>
      </c>
      <c r="P16" s="104">
        <v>2</v>
      </c>
      <c r="Q16" s="110">
        <v>4</v>
      </c>
      <c r="R16" s="17">
        <v>2</v>
      </c>
    </row>
    <row r="17" spans="3:19" ht="15" thickBot="1" x14ac:dyDescent="0.35">
      <c r="C17" s="18">
        <v>100</v>
      </c>
      <c r="D17" s="19">
        <v>0</v>
      </c>
      <c r="E17" s="20">
        <v>0</v>
      </c>
      <c r="F17" s="20">
        <v>0</v>
      </c>
      <c r="G17" s="21">
        <v>0</v>
      </c>
      <c r="M17" s="18">
        <v>100</v>
      </c>
      <c r="N17" s="19">
        <v>0</v>
      </c>
      <c r="O17" s="105">
        <v>0</v>
      </c>
      <c r="P17" s="105">
        <v>0</v>
      </c>
      <c r="Q17" s="20">
        <v>0</v>
      </c>
      <c r="R17" s="21">
        <v>0</v>
      </c>
    </row>
    <row r="18" spans="3:19" ht="15" thickBot="1" x14ac:dyDescent="0.35">
      <c r="C18" s="1"/>
      <c r="D18" s="1"/>
      <c r="E18" s="1"/>
      <c r="F18" s="1"/>
      <c r="G18" s="1"/>
    </row>
    <row r="19" spans="3:19" ht="15" thickBot="1" x14ac:dyDescent="0.35">
      <c r="C19" s="2" t="s">
        <v>3</v>
      </c>
      <c r="D19" s="3">
        <v>50</v>
      </c>
      <c r="E19" s="4">
        <v>150</v>
      </c>
      <c r="F19" s="4">
        <v>200</v>
      </c>
      <c r="G19" s="5">
        <v>150</v>
      </c>
      <c r="M19" s="112" t="s">
        <v>3</v>
      </c>
      <c r="N19" s="113">
        <v>50</v>
      </c>
      <c r="O19" s="114">
        <v>100</v>
      </c>
      <c r="P19" s="114">
        <v>50</v>
      </c>
      <c r="Q19" s="114">
        <v>100</v>
      </c>
      <c r="R19" s="115">
        <v>150</v>
      </c>
    </row>
    <row r="20" spans="3:19" ht="29.4" customHeight="1" x14ac:dyDescent="0.3">
      <c r="C20" s="6">
        <v>50</v>
      </c>
      <c r="D20" s="57" t="s">
        <v>18</v>
      </c>
      <c r="E20" s="35">
        <v>5</v>
      </c>
      <c r="F20" s="43" t="s">
        <v>19</v>
      </c>
      <c r="G20" s="26">
        <v>10</v>
      </c>
      <c r="M20" s="116">
        <v>50</v>
      </c>
      <c r="N20" s="57" t="s">
        <v>15</v>
      </c>
      <c r="O20" s="43" t="s">
        <v>204</v>
      </c>
      <c r="P20" s="35">
        <v>5</v>
      </c>
      <c r="Q20" s="43" t="s">
        <v>205</v>
      </c>
      <c r="R20" s="26">
        <v>10</v>
      </c>
    </row>
    <row r="21" spans="3:19" ht="29.4" customHeight="1" x14ac:dyDescent="0.3">
      <c r="C21" s="10">
        <v>100</v>
      </c>
      <c r="D21" s="31">
        <v>6</v>
      </c>
      <c r="E21" s="32">
        <v>3</v>
      </c>
      <c r="F21" s="42" t="s">
        <v>16</v>
      </c>
      <c r="G21" s="27">
        <v>4</v>
      </c>
      <c r="M21" s="117">
        <v>100</v>
      </c>
      <c r="N21" s="31">
        <v>6</v>
      </c>
      <c r="O21" s="42" t="s">
        <v>203</v>
      </c>
      <c r="P21" s="42" t="s">
        <v>202</v>
      </c>
      <c r="Q21" s="32">
        <v>8</v>
      </c>
      <c r="R21" s="27">
        <v>4</v>
      </c>
    </row>
    <row r="22" spans="3:19" ht="28.8" customHeight="1" x14ac:dyDescent="0.3">
      <c r="C22" s="10">
        <v>150</v>
      </c>
      <c r="D22" s="31">
        <v>5</v>
      </c>
      <c r="E22" s="42" t="s">
        <v>14</v>
      </c>
      <c r="F22" s="32">
        <v>3</v>
      </c>
      <c r="G22" s="30" t="s">
        <v>5</v>
      </c>
      <c r="M22" s="117">
        <v>150</v>
      </c>
      <c r="N22" s="31">
        <v>5</v>
      </c>
      <c r="O22" s="42" t="s">
        <v>200</v>
      </c>
      <c r="P22" s="32" t="s">
        <v>198</v>
      </c>
      <c r="Q22" s="32">
        <v>3</v>
      </c>
      <c r="R22" s="30" t="s">
        <v>199</v>
      </c>
    </row>
    <row r="23" spans="3:19" ht="30" customHeight="1" x14ac:dyDescent="0.3">
      <c r="C23" s="14">
        <v>150</v>
      </c>
      <c r="D23" s="33">
        <v>7</v>
      </c>
      <c r="E23" s="45" t="s">
        <v>6</v>
      </c>
      <c r="F23" s="45" t="s">
        <v>17</v>
      </c>
      <c r="G23" s="28">
        <v>2</v>
      </c>
      <c r="M23" s="118">
        <v>50</v>
      </c>
      <c r="N23" s="33">
        <v>7</v>
      </c>
      <c r="O23" s="45" t="s">
        <v>201</v>
      </c>
      <c r="P23" s="34">
        <v>2</v>
      </c>
      <c r="Q23" s="34">
        <v>4</v>
      </c>
      <c r="R23" s="28">
        <v>2</v>
      </c>
    </row>
    <row r="24" spans="3:19" ht="30" customHeight="1" thickBot="1" x14ac:dyDescent="0.35">
      <c r="C24" s="18">
        <v>100</v>
      </c>
      <c r="D24" s="37">
        <v>0</v>
      </c>
      <c r="E24" s="36">
        <v>0</v>
      </c>
      <c r="F24" s="44" t="s">
        <v>20</v>
      </c>
      <c r="G24" s="29">
        <v>0</v>
      </c>
      <c r="M24" s="119">
        <v>100</v>
      </c>
      <c r="N24" s="37">
        <v>0</v>
      </c>
      <c r="O24" s="36">
        <v>0</v>
      </c>
      <c r="P24" s="36">
        <v>0</v>
      </c>
      <c r="Q24" s="44" t="s">
        <v>206</v>
      </c>
      <c r="R24" s="29">
        <v>0</v>
      </c>
    </row>
    <row r="25" spans="3:19" ht="15" thickBot="1" x14ac:dyDescent="0.35"/>
    <row r="26" spans="3:19" ht="15" thickBot="1" x14ac:dyDescent="0.35">
      <c r="C26" s="252" t="s">
        <v>7</v>
      </c>
      <c r="D26" s="320"/>
      <c r="E26" s="320"/>
      <c r="F26" s="320"/>
      <c r="G26" s="320"/>
      <c r="H26" s="253"/>
      <c r="M26" s="252" t="s">
        <v>7</v>
      </c>
      <c r="N26" s="320"/>
      <c r="O26" s="320"/>
      <c r="P26" s="320"/>
      <c r="Q26" s="320"/>
      <c r="R26" s="253"/>
    </row>
    <row r="28" spans="3:19" x14ac:dyDescent="0.3">
      <c r="C28" s="322" t="s">
        <v>207</v>
      </c>
      <c r="D28" s="323"/>
      <c r="E28" s="323"/>
      <c r="F28" s="323"/>
      <c r="G28" s="323"/>
      <c r="H28" s="324"/>
      <c r="I28" s="63"/>
      <c r="M28" s="322" t="s">
        <v>207</v>
      </c>
      <c r="N28" s="323"/>
      <c r="O28" s="323"/>
      <c r="P28" s="323"/>
      <c r="Q28" s="323"/>
      <c r="R28" s="324"/>
    </row>
    <row r="29" spans="3:19" ht="15" thickBot="1" x14ac:dyDescent="0.35">
      <c r="I29" s="63"/>
    </row>
    <row r="30" spans="3:19" ht="15" thickBot="1" x14ac:dyDescent="0.35">
      <c r="C30" s="2" t="s">
        <v>3</v>
      </c>
      <c r="D30" s="3">
        <v>50</v>
      </c>
      <c r="E30" s="4">
        <v>150</v>
      </c>
      <c r="F30" s="4">
        <v>200</v>
      </c>
      <c r="G30" s="5">
        <v>150</v>
      </c>
      <c r="I30" s="63"/>
      <c r="M30" s="112" t="s">
        <v>3</v>
      </c>
      <c r="N30" s="113">
        <v>50</v>
      </c>
      <c r="O30" s="114">
        <v>100</v>
      </c>
      <c r="P30" s="114">
        <v>50</v>
      </c>
      <c r="Q30" s="114">
        <v>100</v>
      </c>
      <c r="R30" s="115">
        <v>150</v>
      </c>
    </row>
    <row r="31" spans="3:19" ht="28.8" x14ac:dyDescent="0.3">
      <c r="C31" s="6">
        <v>50</v>
      </c>
      <c r="D31" s="57" t="s">
        <v>18</v>
      </c>
      <c r="E31" s="35">
        <v>5</v>
      </c>
      <c r="F31" s="43" t="s">
        <v>19</v>
      </c>
      <c r="G31" s="26">
        <v>10</v>
      </c>
      <c r="H31" s="39" t="s">
        <v>12</v>
      </c>
      <c r="I31" s="63"/>
      <c r="M31" s="116">
        <v>50</v>
      </c>
      <c r="N31" s="57" t="s">
        <v>15</v>
      </c>
      <c r="O31" s="43" t="s">
        <v>204</v>
      </c>
      <c r="P31" s="35">
        <v>5</v>
      </c>
      <c r="Q31" s="43" t="s">
        <v>205</v>
      </c>
      <c r="R31" s="26">
        <v>10</v>
      </c>
      <c r="S31" s="39" t="s">
        <v>208</v>
      </c>
    </row>
    <row r="32" spans="3:19" ht="28.8" x14ac:dyDescent="0.3">
      <c r="C32" s="10">
        <v>100</v>
      </c>
      <c r="D32" s="31">
        <v>6</v>
      </c>
      <c r="E32" s="32">
        <v>3</v>
      </c>
      <c r="F32" s="42" t="s">
        <v>16</v>
      </c>
      <c r="G32" s="27">
        <v>4</v>
      </c>
      <c r="H32" s="10" t="s">
        <v>9</v>
      </c>
      <c r="I32" s="63"/>
      <c r="M32" s="117">
        <v>100</v>
      </c>
      <c r="N32" s="31">
        <v>6</v>
      </c>
      <c r="O32" s="42" t="s">
        <v>203</v>
      </c>
      <c r="P32" s="42" t="s">
        <v>202</v>
      </c>
      <c r="Q32" s="32">
        <v>8</v>
      </c>
      <c r="R32" s="27">
        <v>4</v>
      </c>
      <c r="S32" s="10" t="s">
        <v>211</v>
      </c>
    </row>
    <row r="33" spans="3:19" ht="28.8" x14ac:dyDescent="0.3">
      <c r="C33" s="10">
        <v>150</v>
      </c>
      <c r="D33" s="31">
        <v>5</v>
      </c>
      <c r="E33" s="42" t="s">
        <v>14</v>
      </c>
      <c r="F33" s="32">
        <v>3</v>
      </c>
      <c r="G33" s="30" t="s">
        <v>5</v>
      </c>
      <c r="H33" s="10" t="s">
        <v>23</v>
      </c>
      <c r="I33" s="63"/>
      <c r="M33" s="117">
        <v>150</v>
      </c>
      <c r="N33" s="31">
        <v>5</v>
      </c>
      <c r="O33" s="42" t="s">
        <v>200</v>
      </c>
      <c r="P33" s="32" t="s">
        <v>198</v>
      </c>
      <c r="Q33" s="32">
        <v>3</v>
      </c>
      <c r="R33" s="30" t="s">
        <v>199</v>
      </c>
      <c r="S33" s="10" t="s">
        <v>212</v>
      </c>
    </row>
    <row r="34" spans="3:19" ht="28.8" x14ac:dyDescent="0.3">
      <c r="C34" s="14">
        <v>150</v>
      </c>
      <c r="D34" s="33">
        <v>7</v>
      </c>
      <c r="E34" s="45" t="s">
        <v>6</v>
      </c>
      <c r="F34" s="45" t="s">
        <v>17</v>
      </c>
      <c r="G34" s="28">
        <v>2</v>
      </c>
      <c r="H34" s="10" t="s">
        <v>21</v>
      </c>
      <c r="I34" s="63"/>
      <c r="M34" s="118">
        <v>50</v>
      </c>
      <c r="N34" s="33">
        <v>7</v>
      </c>
      <c r="O34" s="45" t="s">
        <v>201</v>
      </c>
      <c r="P34" s="34">
        <v>2</v>
      </c>
      <c r="Q34" s="34">
        <v>4</v>
      </c>
      <c r="R34" s="28">
        <v>2</v>
      </c>
      <c r="S34" s="10" t="s">
        <v>213</v>
      </c>
    </row>
    <row r="35" spans="3:19" ht="29.4" thickBot="1" x14ac:dyDescent="0.35">
      <c r="C35" s="14">
        <v>100</v>
      </c>
      <c r="D35" s="37">
        <v>0</v>
      </c>
      <c r="E35" s="36">
        <v>0</v>
      </c>
      <c r="F35" s="44" t="s">
        <v>20</v>
      </c>
      <c r="G35" s="29">
        <v>0</v>
      </c>
      <c r="H35" s="18" t="s">
        <v>13</v>
      </c>
      <c r="I35" s="63"/>
      <c r="M35" s="118">
        <v>100</v>
      </c>
      <c r="N35" s="33">
        <v>0</v>
      </c>
      <c r="O35" s="34">
        <v>0</v>
      </c>
      <c r="P35" s="34">
        <v>0</v>
      </c>
      <c r="Q35" s="45" t="s">
        <v>206</v>
      </c>
      <c r="R35" s="28">
        <v>0</v>
      </c>
      <c r="S35" s="18" t="s">
        <v>214</v>
      </c>
    </row>
    <row r="36" spans="3:19" ht="27.6" customHeight="1" thickBot="1" x14ac:dyDescent="0.35">
      <c r="C36" s="41"/>
      <c r="D36" s="4" t="s">
        <v>10</v>
      </c>
      <c r="E36" s="4" t="s">
        <v>22</v>
      </c>
      <c r="F36" s="4" t="s">
        <v>11</v>
      </c>
      <c r="G36" s="5" t="s">
        <v>24</v>
      </c>
      <c r="H36" s="40" t="s">
        <v>8</v>
      </c>
      <c r="I36" s="63"/>
      <c r="M36" s="41"/>
      <c r="N36" s="4" t="s">
        <v>209</v>
      </c>
      <c r="O36" s="4" t="s">
        <v>210</v>
      </c>
      <c r="P36" s="4" t="s">
        <v>31</v>
      </c>
      <c r="Q36" s="4" t="s">
        <v>24</v>
      </c>
      <c r="R36" s="5" t="s">
        <v>215</v>
      </c>
      <c r="S36" s="40" t="s">
        <v>8</v>
      </c>
    </row>
    <row r="37" spans="3:19" ht="15" thickBot="1" x14ac:dyDescent="0.35"/>
    <row r="38" spans="3:19" ht="15" thickBot="1" x14ac:dyDescent="0.35">
      <c r="C38" s="2" t="s">
        <v>3</v>
      </c>
      <c r="D38" s="3">
        <v>50</v>
      </c>
      <c r="E38" s="4">
        <v>150</v>
      </c>
      <c r="F38" s="4">
        <v>200</v>
      </c>
      <c r="G38" s="5">
        <v>150</v>
      </c>
      <c r="M38" s="112" t="s">
        <v>3</v>
      </c>
      <c r="N38" s="113">
        <v>50</v>
      </c>
      <c r="O38" s="114">
        <v>100</v>
      </c>
      <c r="P38" s="114">
        <v>50</v>
      </c>
      <c r="Q38" s="114">
        <v>100</v>
      </c>
      <c r="R38" s="115">
        <v>150</v>
      </c>
    </row>
    <row r="39" spans="3:19" ht="28.8" x14ac:dyDescent="0.3">
      <c r="C39" s="6">
        <v>50</v>
      </c>
      <c r="D39" s="57" t="s">
        <v>18</v>
      </c>
      <c r="E39" s="46">
        <v>1</v>
      </c>
      <c r="F39" s="43" t="s">
        <v>19</v>
      </c>
      <c r="G39" s="55">
        <v>6</v>
      </c>
      <c r="H39" s="39" t="s">
        <v>12</v>
      </c>
      <c r="M39" s="116">
        <v>50</v>
      </c>
      <c r="N39" s="57" t="s">
        <v>15</v>
      </c>
      <c r="O39" s="43" t="s">
        <v>204</v>
      </c>
      <c r="P39" s="46">
        <v>0</v>
      </c>
      <c r="Q39" s="43" t="s">
        <v>205</v>
      </c>
      <c r="R39" s="55">
        <v>5</v>
      </c>
      <c r="S39" s="39" t="s">
        <v>208</v>
      </c>
    </row>
    <row r="40" spans="3:19" ht="28.8" x14ac:dyDescent="0.3">
      <c r="C40" s="10">
        <v>100</v>
      </c>
      <c r="D40" s="48">
        <v>0</v>
      </c>
      <c r="E40" s="56">
        <v>-3</v>
      </c>
      <c r="F40" s="42" t="s">
        <v>16</v>
      </c>
      <c r="G40" s="54">
        <v>-2</v>
      </c>
      <c r="H40" s="10" t="s">
        <v>9</v>
      </c>
      <c r="M40" s="117">
        <v>100</v>
      </c>
      <c r="N40" s="48">
        <v>4</v>
      </c>
      <c r="O40" s="42" t="s">
        <v>203</v>
      </c>
      <c r="P40" s="42" t="s">
        <v>202</v>
      </c>
      <c r="Q40" s="47">
        <v>4</v>
      </c>
      <c r="R40" s="54">
        <v>1</v>
      </c>
      <c r="S40" s="10" t="s">
        <v>211</v>
      </c>
    </row>
    <row r="41" spans="3:19" ht="28.8" x14ac:dyDescent="0.3">
      <c r="C41" s="10">
        <v>150</v>
      </c>
      <c r="D41" s="48">
        <v>4</v>
      </c>
      <c r="E41" s="42" t="s">
        <v>14</v>
      </c>
      <c r="F41" s="47">
        <v>0</v>
      </c>
      <c r="G41" s="30" t="s">
        <v>5</v>
      </c>
      <c r="H41" s="10" t="s">
        <v>23</v>
      </c>
      <c r="M41" s="117">
        <v>150</v>
      </c>
      <c r="N41" s="48">
        <v>5</v>
      </c>
      <c r="O41" s="42" t="s">
        <v>200</v>
      </c>
      <c r="P41" s="47" t="s">
        <v>198</v>
      </c>
      <c r="Q41" s="47">
        <v>1</v>
      </c>
      <c r="R41" s="30" t="s">
        <v>199</v>
      </c>
      <c r="S41" s="10" t="s">
        <v>212</v>
      </c>
    </row>
    <row r="42" spans="3:19" ht="28.8" x14ac:dyDescent="0.3">
      <c r="C42" s="14">
        <v>150</v>
      </c>
      <c r="D42" s="49">
        <v>5</v>
      </c>
      <c r="E42" s="45" t="s">
        <v>6</v>
      </c>
      <c r="F42" s="45" t="s">
        <v>17</v>
      </c>
      <c r="G42" s="53">
        <v>0</v>
      </c>
      <c r="H42" s="10" t="s">
        <v>21</v>
      </c>
      <c r="M42" s="118">
        <v>50</v>
      </c>
      <c r="N42" s="49">
        <v>6</v>
      </c>
      <c r="O42" s="45" t="s">
        <v>201</v>
      </c>
      <c r="P42" s="52">
        <v>0</v>
      </c>
      <c r="Q42" s="52">
        <v>1</v>
      </c>
      <c r="R42" s="53">
        <v>0</v>
      </c>
      <c r="S42" s="10" t="s">
        <v>213</v>
      </c>
    </row>
    <row r="43" spans="3:19" ht="29.4" thickBot="1" x14ac:dyDescent="0.35">
      <c r="C43" s="14">
        <v>100</v>
      </c>
      <c r="D43" s="50">
        <v>2</v>
      </c>
      <c r="E43" s="51">
        <v>2</v>
      </c>
      <c r="F43" s="44" t="s">
        <v>20</v>
      </c>
      <c r="G43" s="58">
        <v>2</v>
      </c>
      <c r="H43" s="18" t="s">
        <v>13</v>
      </c>
      <c r="M43" s="118">
        <v>100</v>
      </c>
      <c r="N43" s="49">
        <v>2</v>
      </c>
      <c r="O43" s="52">
        <v>1</v>
      </c>
      <c r="P43" s="52">
        <v>1</v>
      </c>
      <c r="Q43" s="45" t="s">
        <v>206</v>
      </c>
      <c r="R43" s="53">
        <v>1</v>
      </c>
      <c r="S43" s="18" t="s">
        <v>214</v>
      </c>
    </row>
    <row r="44" spans="3:19" ht="29.4" thickBot="1" x14ac:dyDescent="0.35">
      <c r="C44" s="41"/>
      <c r="D44" s="4" t="s">
        <v>10</v>
      </c>
      <c r="E44" s="4" t="s">
        <v>22</v>
      </c>
      <c r="F44" s="4" t="s">
        <v>11</v>
      </c>
      <c r="G44" s="5" t="s">
        <v>24</v>
      </c>
      <c r="H44" s="40" t="s">
        <v>8</v>
      </c>
      <c r="M44" s="41"/>
      <c r="N44" s="4" t="s">
        <v>209</v>
      </c>
      <c r="O44" s="4" t="s">
        <v>210</v>
      </c>
      <c r="P44" s="4" t="s">
        <v>31</v>
      </c>
      <c r="Q44" s="4" t="s">
        <v>24</v>
      </c>
      <c r="R44" s="5" t="s">
        <v>216</v>
      </c>
      <c r="S44" s="40" t="s">
        <v>8</v>
      </c>
    </row>
    <row r="45" spans="3:19" ht="15" thickBot="1" x14ac:dyDescent="0.35"/>
    <row r="46" spans="3:19" ht="15" thickBot="1" x14ac:dyDescent="0.35">
      <c r="C46" s="2" t="s">
        <v>3</v>
      </c>
      <c r="D46" s="3">
        <v>50</v>
      </c>
      <c r="E46" s="4">
        <v>150</v>
      </c>
      <c r="F46" s="4">
        <v>200</v>
      </c>
      <c r="G46" s="5">
        <v>150</v>
      </c>
      <c r="H46" s="60"/>
      <c r="M46" s="112" t="s">
        <v>3</v>
      </c>
      <c r="N46" s="113">
        <v>50</v>
      </c>
      <c r="O46" s="114">
        <v>100</v>
      </c>
      <c r="P46" s="114">
        <v>50</v>
      </c>
      <c r="Q46" s="114">
        <v>100</v>
      </c>
      <c r="R46" s="115">
        <v>150</v>
      </c>
    </row>
    <row r="47" spans="3:19" ht="28.8" x14ac:dyDescent="0.3">
      <c r="C47" s="6">
        <v>50</v>
      </c>
      <c r="D47" s="57" t="s">
        <v>18</v>
      </c>
      <c r="E47" s="35">
        <v>5</v>
      </c>
      <c r="F47" s="43" t="s">
        <v>19</v>
      </c>
      <c r="G47" s="26">
        <v>10</v>
      </c>
      <c r="H47" s="62"/>
      <c r="M47" s="116">
        <v>50</v>
      </c>
      <c r="N47" s="57" t="s">
        <v>15</v>
      </c>
      <c r="O47" s="35">
        <v>5</v>
      </c>
      <c r="P47" s="35">
        <v>5</v>
      </c>
      <c r="Q47" s="35">
        <v>6</v>
      </c>
      <c r="R47" s="26">
        <v>10</v>
      </c>
    </row>
    <row r="48" spans="3:19" ht="28.8" x14ac:dyDescent="0.3">
      <c r="C48" s="10">
        <v>100</v>
      </c>
      <c r="D48" s="31">
        <v>6</v>
      </c>
      <c r="E48" s="42" t="s">
        <v>25</v>
      </c>
      <c r="F48" s="32">
        <v>8</v>
      </c>
      <c r="G48" s="27">
        <v>4</v>
      </c>
      <c r="H48" s="62"/>
      <c r="M48" s="117">
        <v>100</v>
      </c>
      <c r="N48" s="31">
        <v>6</v>
      </c>
      <c r="O48" s="42" t="s">
        <v>203</v>
      </c>
      <c r="P48" s="42" t="s">
        <v>202</v>
      </c>
      <c r="Q48" s="32">
        <v>8</v>
      </c>
      <c r="R48" s="27">
        <v>4</v>
      </c>
    </row>
    <row r="49" spans="3:18" ht="28.8" x14ac:dyDescent="0.3">
      <c r="C49" s="10">
        <v>150</v>
      </c>
      <c r="D49" s="31">
        <v>5</v>
      </c>
      <c r="E49" s="42" t="s">
        <v>14</v>
      </c>
      <c r="F49" s="32">
        <v>3</v>
      </c>
      <c r="G49" s="30" t="s">
        <v>5</v>
      </c>
      <c r="H49" s="62"/>
      <c r="M49" s="117">
        <v>150</v>
      </c>
      <c r="N49" s="31">
        <v>5</v>
      </c>
      <c r="O49" s="32">
        <v>1</v>
      </c>
      <c r="P49" s="32" t="s">
        <v>198</v>
      </c>
      <c r="Q49" s="32">
        <v>3</v>
      </c>
      <c r="R49" s="30" t="s">
        <v>199</v>
      </c>
    </row>
    <row r="50" spans="3:18" ht="28.8" x14ac:dyDescent="0.3">
      <c r="C50" s="14">
        <v>150</v>
      </c>
      <c r="D50" s="33">
        <v>7</v>
      </c>
      <c r="E50" s="45" t="s">
        <v>27</v>
      </c>
      <c r="F50" s="45" t="s">
        <v>26</v>
      </c>
      <c r="G50" s="28">
        <v>2</v>
      </c>
      <c r="H50" s="62"/>
      <c r="M50" s="118">
        <v>50</v>
      </c>
      <c r="N50" s="33">
        <v>7</v>
      </c>
      <c r="O50" s="45" t="s">
        <v>201</v>
      </c>
      <c r="P50" s="34">
        <v>2</v>
      </c>
      <c r="Q50" s="34">
        <v>4</v>
      </c>
      <c r="R50" s="28">
        <v>2</v>
      </c>
    </row>
    <row r="51" spans="3:18" ht="29.4" thickBot="1" x14ac:dyDescent="0.35">
      <c r="C51" s="18">
        <v>100</v>
      </c>
      <c r="D51" s="37">
        <v>0</v>
      </c>
      <c r="E51" s="36">
        <v>0</v>
      </c>
      <c r="F51" s="44" t="s">
        <v>20</v>
      </c>
      <c r="G51" s="29">
        <v>0</v>
      </c>
      <c r="H51" s="62"/>
      <c r="M51" s="119">
        <v>100</v>
      </c>
      <c r="N51" s="37">
        <v>0</v>
      </c>
      <c r="O51" s="36">
        <v>0</v>
      </c>
      <c r="P51" s="36">
        <v>0</v>
      </c>
      <c r="Q51" s="44" t="s">
        <v>206</v>
      </c>
      <c r="R51" s="29">
        <v>0</v>
      </c>
    </row>
    <row r="52" spans="3:18" ht="15" thickBot="1" x14ac:dyDescent="0.35">
      <c r="C52" s="59"/>
      <c r="D52" s="59"/>
      <c r="E52" s="59"/>
      <c r="F52" s="59"/>
      <c r="G52" s="59"/>
      <c r="H52" s="61"/>
    </row>
    <row r="53" spans="3:18" ht="15" thickBot="1" x14ac:dyDescent="0.35">
      <c r="C53" s="2" t="s">
        <v>3</v>
      </c>
      <c r="D53" s="3">
        <v>50</v>
      </c>
      <c r="E53" s="4">
        <v>150</v>
      </c>
      <c r="F53" s="4">
        <v>200</v>
      </c>
      <c r="G53" s="5">
        <v>150</v>
      </c>
    </row>
    <row r="54" spans="3:18" ht="28.8" x14ac:dyDescent="0.3">
      <c r="C54" s="6">
        <v>50</v>
      </c>
      <c r="D54" s="57" t="s">
        <v>18</v>
      </c>
      <c r="E54" s="35">
        <v>5</v>
      </c>
      <c r="F54" s="43" t="s">
        <v>19</v>
      </c>
      <c r="G54" s="26">
        <v>10</v>
      </c>
      <c r="H54" s="39" t="s">
        <v>33</v>
      </c>
    </row>
    <row r="55" spans="3:18" ht="28.8" x14ac:dyDescent="0.3">
      <c r="C55" s="10">
        <v>100</v>
      </c>
      <c r="D55" s="31">
        <v>6</v>
      </c>
      <c r="E55" s="42" t="s">
        <v>25</v>
      </c>
      <c r="F55" s="32">
        <v>8</v>
      </c>
      <c r="G55" s="27">
        <v>4</v>
      </c>
      <c r="H55" s="10" t="s">
        <v>9</v>
      </c>
    </row>
    <row r="56" spans="3:18" ht="28.8" x14ac:dyDescent="0.3">
      <c r="C56" s="10">
        <v>150</v>
      </c>
      <c r="D56" s="31">
        <v>5</v>
      </c>
      <c r="E56" s="42" t="s">
        <v>14</v>
      </c>
      <c r="F56" s="32">
        <v>3</v>
      </c>
      <c r="G56" s="30" t="s">
        <v>5</v>
      </c>
      <c r="H56" s="10" t="s">
        <v>29</v>
      </c>
    </row>
    <row r="57" spans="3:18" ht="28.8" x14ac:dyDescent="0.3">
      <c r="C57" s="14">
        <v>150</v>
      </c>
      <c r="D57" s="33">
        <v>7</v>
      </c>
      <c r="E57" s="45" t="s">
        <v>27</v>
      </c>
      <c r="F57" s="45" t="s">
        <v>26</v>
      </c>
      <c r="G57" s="28">
        <v>2</v>
      </c>
      <c r="H57" s="10" t="s">
        <v>30</v>
      </c>
    </row>
    <row r="58" spans="3:18" ht="29.4" thickBot="1" x14ac:dyDescent="0.35">
      <c r="C58" s="14">
        <v>100</v>
      </c>
      <c r="D58" s="37">
        <v>0</v>
      </c>
      <c r="E58" s="36">
        <v>0</v>
      </c>
      <c r="F58" s="44" t="s">
        <v>20</v>
      </c>
      <c r="G58" s="29">
        <v>0</v>
      </c>
      <c r="H58" s="18" t="s">
        <v>32</v>
      </c>
    </row>
    <row r="59" spans="3:18" ht="29.4" thickBot="1" x14ac:dyDescent="0.35">
      <c r="C59" s="41"/>
      <c r="D59" s="4" t="s">
        <v>34</v>
      </c>
      <c r="E59" s="4" t="s">
        <v>28</v>
      </c>
      <c r="F59" s="4" t="s">
        <v>31</v>
      </c>
      <c r="G59" s="5" t="s">
        <v>35</v>
      </c>
      <c r="H59" s="40" t="s">
        <v>8</v>
      </c>
    </row>
    <row r="60" spans="3:18" ht="15" thickBot="1" x14ac:dyDescent="0.35"/>
    <row r="61" spans="3:18" ht="15" thickBot="1" x14ac:dyDescent="0.35">
      <c r="C61" s="2" t="s">
        <v>3</v>
      </c>
      <c r="D61" s="3">
        <v>50</v>
      </c>
      <c r="E61" s="4">
        <v>150</v>
      </c>
      <c r="F61" s="4">
        <v>200</v>
      </c>
      <c r="G61" s="5">
        <v>150</v>
      </c>
    </row>
    <row r="62" spans="3:18" ht="28.8" x14ac:dyDescent="0.3">
      <c r="C62" s="6">
        <v>50</v>
      </c>
      <c r="D62" s="57" t="s">
        <v>18</v>
      </c>
      <c r="E62" s="46">
        <v>1</v>
      </c>
      <c r="F62" s="43" t="s">
        <v>19</v>
      </c>
      <c r="G62" s="55">
        <v>6</v>
      </c>
      <c r="H62" s="39" t="s">
        <v>33</v>
      </c>
    </row>
    <row r="63" spans="3:18" ht="28.8" x14ac:dyDescent="0.3">
      <c r="C63" s="10">
        <v>100</v>
      </c>
      <c r="D63" s="48">
        <v>3</v>
      </c>
      <c r="E63" s="42" t="s">
        <v>25</v>
      </c>
      <c r="F63" s="47">
        <v>3</v>
      </c>
      <c r="G63" s="54">
        <v>1</v>
      </c>
      <c r="H63" s="10" t="s">
        <v>9</v>
      </c>
    </row>
    <row r="64" spans="3:18" ht="28.8" x14ac:dyDescent="0.3">
      <c r="C64" s="10">
        <v>150</v>
      </c>
      <c r="D64" s="48">
        <v>4</v>
      </c>
      <c r="E64" s="42" t="s">
        <v>14</v>
      </c>
      <c r="F64" s="47">
        <v>0</v>
      </c>
      <c r="G64" s="30" t="s">
        <v>5</v>
      </c>
      <c r="H64" s="10" t="s">
        <v>29</v>
      </c>
    </row>
    <row r="65" spans="3:19" ht="28.8" x14ac:dyDescent="0.3">
      <c r="C65" s="14">
        <v>150</v>
      </c>
      <c r="D65" s="49">
        <v>5</v>
      </c>
      <c r="E65" s="45" t="s">
        <v>27</v>
      </c>
      <c r="F65" s="45" t="s">
        <v>26</v>
      </c>
      <c r="G65" s="53">
        <v>0</v>
      </c>
      <c r="H65" s="10" t="s">
        <v>30</v>
      </c>
    </row>
    <row r="66" spans="3:19" ht="29.4" thickBot="1" x14ac:dyDescent="0.35">
      <c r="C66" s="14">
        <v>100</v>
      </c>
      <c r="D66" s="50">
        <v>2</v>
      </c>
      <c r="E66" s="51">
        <v>2</v>
      </c>
      <c r="F66" s="44" t="s">
        <v>20</v>
      </c>
      <c r="G66" s="58">
        <v>2</v>
      </c>
      <c r="H66" s="18" t="s">
        <v>32</v>
      </c>
    </row>
    <row r="67" spans="3:19" ht="29.4" thickBot="1" x14ac:dyDescent="0.35">
      <c r="C67" s="41"/>
      <c r="D67" s="4" t="s">
        <v>34</v>
      </c>
      <c r="E67" s="4" t="s">
        <v>28</v>
      </c>
      <c r="F67" s="4" t="s">
        <v>31</v>
      </c>
      <c r="G67" s="5" t="s">
        <v>35</v>
      </c>
      <c r="H67" s="40" t="s">
        <v>8</v>
      </c>
    </row>
    <row r="69" spans="3:19" x14ac:dyDescent="0.3">
      <c r="C69" s="278" t="s">
        <v>36</v>
      </c>
      <c r="D69" s="279"/>
      <c r="E69" s="279"/>
      <c r="F69" s="279"/>
      <c r="G69" s="279"/>
      <c r="H69" s="280"/>
    </row>
    <row r="70" spans="3:19" ht="15" thickBot="1" x14ac:dyDescent="0.35"/>
    <row r="71" spans="3:19" ht="15" thickBot="1" x14ac:dyDescent="0.35">
      <c r="C71" s="2" t="s">
        <v>3</v>
      </c>
      <c r="D71" s="3">
        <v>50</v>
      </c>
      <c r="E71" s="4">
        <v>150</v>
      </c>
      <c r="F71" s="4">
        <v>200</v>
      </c>
      <c r="G71" s="5">
        <v>150</v>
      </c>
    </row>
    <row r="72" spans="3:19" ht="28.8" x14ac:dyDescent="0.3">
      <c r="C72" s="6">
        <v>50</v>
      </c>
      <c r="D72" s="57" t="s">
        <v>18</v>
      </c>
      <c r="E72" s="35">
        <v>5</v>
      </c>
      <c r="F72" s="35">
        <v>6</v>
      </c>
      <c r="G72" s="26">
        <v>10</v>
      </c>
    </row>
    <row r="73" spans="3:19" ht="28.8" x14ac:dyDescent="0.3">
      <c r="C73" s="10">
        <v>100</v>
      </c>
      <c r="D73" s="31">
        <v>6</v>
      </c>
      <c r="E73" s="42" t="s">
        <v>25</v>
      </c>
      <c r="F73" s="32">
        <v>8</v>
      </c>
      <c r="G73" s="27">
        <v>4</v>
      </c>
    </row>
    <row r="74" spans="3:19" ht="28.8" x14ac:dyDescent="0.3">
      <c r="C74" s="10">
        <v>150</v>
      </c>
      <c r="D74" s="31">
        <v>5</v>
      </c>
      <c r="E74" s="32">
        <v>1</v>
      </c>
      <c r="F74" s="32">
        <v>3</v>
      </c>
      <c r="G74" s="30" t="s">
        <v>5</v>
      </c>
    </row>
    <row r="75" spans="3:19" ht="28.8" x14ac:dyDescent="0.3">
      <c r="C75" s="14">
        <v>150</v>
      </c>
      <c r="D75" s="33">
        <v>7</v>
      </c>
      <c r="E75" s="45" t="s">
        <v>27</v>
      </c>
      <c r="F75" s="45" t="s">
        <v>26</v>
      </c>
      <c r="G75" s="28">
        <v>2</v>
      </c>
    </row>
    <row r="76" spans="3:19" ht="29.4" thickBot="1" x14ac:dyDescent="0.35">
      <c r="C76" s="18">
        <v>100</v>
      </c>
      <c r="D76" s="37">
        <v>0</v>
      </c>
      <c r="E76" s="36">
        <v>0</v>
      </c>
      <c r="F76" s="44" t="s">
        <v>20</v>
      </c>
      <c r="G76" s="29">
        <v>0</v>
      </c>
    </row>
    <row r="78" spans="3:19" x14ac:dyDescent="0.3">
      <c r="C78" s="322" t="s">
        <v>50</v>
      </c>
      <c r="D78" s="323"/>
      <c r="E78" s="323"/>
      <c r="F78" s="323"/>
      <c r="G78" s="323"/>
      <c r="H78" s="324"/>
      <c r="M78" s="131"/>
      <c r="N78" s="322" t="s">
        <v>50</v>
      </c>
      <c r="O78" s="323"/>
      <c r="P78" s="323"/>
      <c r="Q78" s="323"/>
      <c r="R78" s="323"/>
      <c r="S78" s="324"/>
    </row>
    <row r="79" spans="3:19" ht="15" thickBot="1" x14ac:dyDescent="0.35">
      <c r="M79" s="130"/>
    </row>
    <row r="80" spans="3:19" ht="15" thickBot="1" x14ac:dyDescent="0.35">
      <c r="C80" s="72" t="s">
        <v>3</v>
      </c>
      <c r="D80" s="65">
        <v>50</v>
      </c>
      <c r="E80" s="66">
        <v>150</v>
      </c>
      <c r="F80" s="66">
        <v>200</v>
      </c>
      <c r="G80" s="67">
        <v>150</v>
      </c>
      <c r="M80" s="62"/>
      <c r="N80" s="72" t="s">
        <v>3</v>
      </c>
      <c r="O80" s="65">
        <v>50</v>
      </c>
      <c r="P80" s="66">
        <v>150</v>
      </c>
      <c r="Q80" s="66">
        <v>100</v>
      </c>
      <c r="R80" s="67">
        <v>150</v>
      </c>
    </row>
    <row r="81" spans="3:20" x14ac:dyDescent="0.3">
      <c r="C81" s="68">
        <v>50</v>
      </c>
      <c r="D81" s="7">
        <v>4</v>
      </c>
      <c r="E81" s="8">
        <v>5</v>
      </c>
      <c r="F81" s="8">
        <v>6</v>
      </c>
      <c r="G81" s="9">
        <v>10</v>
      </c>
      <c r="M81" s="62"/>
      <c r="N81" s="68">
        <v>50</v>
      </c>
      <c r="O81" s="7">
        <v>4</v>
      </c>
      <c r="P81" s="8">
        <v>5</v>
      </c>
      <c r="Q81" s="8">
        <v>6</v>
      </c>
      <c r="R81" s="9">
        <v>10</v>
      </c>
    </row>
    <row r="82" spans="3:20" x14ac:dyDescent="0.3">
      <c r="C82" s="69">
        <v>100</v>
      </c>
      <c r="D82" s="11">
        <v>6</v>
      </c>
      <c r="E82" s="12">
        <v>3</v>
      </c>
      <c r="F82" s="12">
        <v>8</v>
      </c>
      <c r="G82" s="13">
        <v>4</v>
      </c>
      <c r="M82" s="62"/>
      <c r="N82" s="69">
        <v>100</v>
      </c>
      <c r="O82" s="38">
        <v>6</v>
      </c>
      <c r="P82" s="12">
        <v>3</v>
      </c>
      <c r="Q82" s="12">
        <v>8</v>
      </c>
      <c r="R82" s="13">
        <v>4</v>
      </c>
    </row>
    <row r="83" spans="3:20" x14ac:dyDescent="0.3">
      <c r="C83" s="69">
        <v>150</v>
      </c>
      <c r="D83" s="11">
        <v>5</v>
      </c>
      <c r="E83" s="12">
        <v>1</v>
      </c>
      <c r="F83" s="12">
        <v>3</v>
      </c>
      <c r="G83" s="13">
        <v>1</v>
      </c>
      <c r="M83" s="62"/>
      <c r="N83" s="69">
        <v>150</v>
      </c>
      <c r="O83" s="38">
        <v>5</v>
      </c>
      <c r="P83" s="12">
        <v>1</v>
      </c>
      <c r="Q83" s="12">
        <v>3</v>
      </c>
      <c r="R83" s="13">
        <v>1</v>
      </c>
    </row>
    <row r="84" spans="3:20" x14ac:dyDescent="0.3">
      <c r="C84" s="70">
        <v>150</v>
      </c>
      <c r="D84" s="15">
        <v>7</v>
      </c>
      <c r="E84" s="16">
        <v>2</v>
      </c>
      <c r="F84" s="16">
        <v>4</v>
      </c>
      <c r="G84" s="17">
        <v>2</v>
      </c>
      <c r="M84" s="62"/>
      <c r="N84" s="70">
        <v>50</v>
      </c>
      <c r="O84" s="15">
        <v>7</v>
      </c>
      <c r="P84" s="16">
        <v>2</v>
      </c>
      <c r="Q84" s="16">
        <v>4</v>
      </c>
      <c r="R84" s="17">
        <v>2</v>
      </c>
    </row>
    <row r="85" spans="3:20" ht="15" thickBot="1" x14ac:dyDescent="0.35">
      <c r="C85" s="71">
        <v>100</v>
      </c>
      <c r="D85" s="19">
        <v>0</v>
      </c>
      <c r="E85" s="20">
        <v>0</v>
      </c>
      <c r="F85" s="20">
        <v>0</v>
      </c>
      <c r="G85" s="21">
        <v>0</v>
      </c>
      <c r="J85" s="64"/>
      <c r="M85" s="62"/>
      <c r="N85" s="71">
        <v>100</v>
      </c>
      <c r="O85" s="19">
        <v>0</v>
      </c>
      <c r="P85" s="20">
        <v>0</v>
      </c>
      <c r="Q85" s="20">
        <v>0</v>
      </c>
      <c r="R85" s="21">
        <v>0</v>
      </c>
    </row>
    <row r="86" spans="3:20" ht="15" thickBot="1" x14ac:dyDescent="0.35">
      <c r="J86" s="1"/>
      <c r="M86" s="130"/>
    </row>
    <row r="87" spans="3:20" ht="15" thickBot="1" x14ac:dyDescent="0.35">
      <c r="C87" s="72" t="s">
        <v>3</v>
      </c>
      <c r="D87" s="65" t="s">
        <v>37</v>
      </c>
      <c r="E87" s="66" t="s">
        <v>38</v>
      </c>
      <c r="F87" s="66" t="s">
        <v>39</v>
      </c>
      <c r="G87" s="82" t="s">
        <v>40</v>
      </c>
      <c r="H87" s="86" t="s">
        <v>46</v>
      </c>
      <c r="I87" s="75" t="s">
        <v>51</v>
      </c>
      <c r="J87" s="1"/>
      <c r="M87" s="62"/>
      <c r="N87" s="72" t="s">
        <v>3</v>
      </c>
      <c r="O87" s="65" t="s">
        <v>37</v>
      </c>
      <c r="P87" s="66" t="s">
        <v>38</v>
      </c>
      <c r="Q87" s="66" t="s">
        <v>39</v>
      </c>
      <c r="R87" s="82" t="s">
        <v>40</v>
      </c>
      <c r="S87" s="86" t="s">
        <v>46</v>
      </c>
      <c r="T87" s="75" t="s">
        <v>51</v>
      </c>
    </row>
    <row r="88" spans="3:20" x14ac:dyDescent="0.3">
      <c r="C88" s="78" t="s">
        <v>41</v>
      </c>
      <c r="D88" s="8">
        <v>50</v>
      </c>
      <c r="E88" s="8">
        <v>0</v>
      </c>
      <c r="F88" s="8">
        <v>0</v>
      </c>
      <c r="G88" s="83">
        <v>0</v>
      </c>
      <c r="H88" s="87">
        <f>SUM(D88:G88)</f>
        <v>50</v>
      </c>
      <c r="I88" s="24">
        <v>50</v>
      </c>
      <c r="J88" s="1"/>
      <c r="M88" s="62"/>
      <c r="N88" s="78" t="s">
        <v>41</v>
      </c>
      <c r="O88" s="8">
        <v>50</v>
      </c>
      <c r="P88" s="8">
        <v>0</v>
      </c>
      <c r="Q88" s="8">
        <v>0</v>
      </c>
      <c r="R88" s="83">
        <v>0</v>
      </c>
      <c r="S88" s="135">
        <f>SUM(O88:R88)</f>
        <v>50</v>
      </c>
      <c r="T88" s="24">
        <v>50</v>
      </c>
    </row>
    <row r="89" spans="3:20" x14ac:dyDescent="0.3">
      <c r="C89" s="79" t="s">
        <v>42</v>
      </c>
      <c r="D89" s="12">
        <v>0</v>
      </c>
      <c r="E89" s="12">
        <v>100</v>
      </c>
      <c r="F89" s="12">
        <v>0</v>
      </c>
      <c r="G89" s="84">
        <v>0</v>
      </c>
      <c r="H89" s="88">
        <f>SUM(D89:G89)</f>
        <v>100</v>
      </c>
      <c r="I89" s="25">
        <v>100</v>
      </c>
      <c r="J89" s="1"/>
      <c r="M89" s="62"/>
      <c r="N89" s="79" t="s">
        <v>42</v>
      </c>
      <c r="O89" s="12">
        <v>0</v>
      </c>
      <c r="P89" s="12">
        <v>100</v>
      </c>
      <c r="Q89" s="12">
        <v>0</v>
      </c>
      <c r="R89" s="84">
        <v>0</v>
      </c>
      <c r="S89" s="136">
        <f>SUM(O89:R89)</f>
        <v>100</v>
      </c>
      <c r="T89" s="25">
        <v>100</v>
      </c>
    </row>
    <row r="90" spans="3:20" x14ac:dyDescent="0.3">
      <c r="C90" s="79" t="s">
        <v>43</v>
      </c>
      <c r="D90" s="12">
        <v>0</v>
      </c>
      <c r="E90" s="12">
        <v>50</v>
      </c>
      <c r="F90" s="12">
        <v>0</v>
      </c>
      <c r="G90" s="84">
        <v>100</v>
      </c>
      <c r="H90" s="88">
        <f>SUM(D90:G90)</f>
        <v>150</v>
      </c>
      <c r="I90" s="25">
        <v>150</v>
      </c>
      <c r="J90" s="1"/>
      <c r="M90" s="62"/>
      <c r="N90" s="79" t="s">
        <v>43</v>
      </c>
      <c r="O90" s="12">
        <v>0</v>
      </c>
      <c r="P90" s="12">
        <v>50</v>
      </c>
      <c r="Q90" s="12">
        <v>0</v>
      </c>
      <c r="R90" s="84">
        <v>100</v>
      </c>
      <c r="S90" s="136">
        <f>SUM(O90:R90)</f>
        <v>150</v>
      </c>
      <c r="T90" s="25">
        <v>150</v>
      </c>
    </row>
    <row r="91" spans="3:20" x14ac:dyDescent="0.3">
      <c r="C91" s="79" t="s">
        <v>44</v>
      </c>
      <c r="D91" s="12">
        <v>0</v>
      </c>
      <c r="E91" s="12">
        <v>0</v>
      </c>
      <c r="F91" s="12">
        <v>100</v>
      </c>
      <c r="G91" s="84">
        <v>50</v>
      </c>
      <c r="H91" s="88">
        <f>SUM(D91:G91)</f>
        <v>150</v>
      </c>
      <c r="I91" s="25">
        <v>150</v>
      </c>
      <c r="J91" s="1"/>
      <c r="M91" s="62"/>
      <c r="N91" s="79" t="s">
        <v>44</v>
      </c>
      <c r="O91" s="12">
        <v>0</v>
      </c>
      <c r="P91" s="12">
        <v>0</v>
      </c>
      <c r="Q91" s="134">
        <v>0</v>
      </c>
      <c r="R91" s="84">
        <v>50</v>
      </c>
      <c r="S91" s="136">
        <f>SUM(O91:R91)</f>
        <v>50</v>
      </c>
      <c r="T91" s="25">
        <v>50</v>
      </c>
    </row>
    <row r="92" spans="3:20" ht="15" thickBot="1" x14ac:dyDescent="0.35">
      <c r="C92" s="80" t="s">
        <v>45</v>
      </c>
      <c r="D92" s="20">
        <v>0</v>
      </c>
      <c r="E92" s="20">
        <v>0</v>
      </c>
      <c r="F92" s="20">
        <v>100</v>
      </c>
      <c r="G92" s="85">
        <v>0</v>
      </c>
      <c r="H92" s="89">
        <f>SUM(D92:G92)</f>
        <v>100</v>
      </c>
      <c r="I92" s="81">
        <v>100</v>
      </c>
      <c r="J92" s="1"/>
      <c r="M92" s="62"/>
      <c r="N92" s="80" t="s">
        <v>45</v>
      </c>
      <c r="O92" s="20">
        <v>0</v>
      </c>
      <c r="P92" s="20">
        <v>0</v>
      </c>
      <c r="Q92" s="20">
        <v>100</v>
      </c>
      <c r="R92" s="85">
        <v>0</v>
      </c>
      <c r="S92" s="137">
        <f>SUM(O92:R92)</f>
        <v>100</v>
      </c>
      <c r="T92" s="81">
        <v>100</v>
      </c>
    </row>
    <row r="93" spans="3:20" x14ac:dyDescent="0.3">
      <c r="C93" s="120" t="s">
        <v>47</v>
      </c>
      <c r="D93" s="90">
        <f>SUM(D88:D92)</f>
        <v>50</v>
      </c>
      <c r="E93" s="90">
        <f>SUM(E88:E92)</f>
        <v>150</v>
      </c>
      <c r="F93" s="90">
        <f t="shared" ref="F93:G93" si="0">SUM(F88:F92)</f>
        <v>200</v>
      </c>
      <c r="G93" s="91">
        <f t="shared" si="0"/>
        <v>150</v>
      </c>
      <c r="H93" s="59"/>
      <c r="I93" s="23"/>
      <c r="J93" s="1"/>
      <c r="M93" s="132"/>
      <c r="N93" s="120" t="s">
        <v>47</v>
      </c>
      <c r="O93" s="73">
        <f>SUM(O88:O92)</f>
        <v>50</v>
      </c>
      <c r="P93" s="73">
        <f>SUM(P88:P92)</f>
        <v>150</v>
      </c>
      <c r="Q93" s="73">
        <f t="shared" ref="Q93:R93" si="1">SUM(Q88:Q92)</f>
        <v>100</v>
      </c>
      <c r="R93" s="74">
        <f t="shared" si="1"/>
        <v>150</v>
      </c>
      <c r="S93" s="59"/>
      <c r="T93" s="23"/>
    </row>
    <row r="94" spans="3:20" ht="15" thickBot="1" x14ac:dyDescent="0.35">
      <c r="C94" s="92" t="s">
        <v>48</v>
      </c>
      <c r="D94" s="20">
        <v>50</v>
      </c>
      <c r="E94" s="20">
        <v>150</v>
      </c>
      <c r="F94" s="20">
        <v>200</v>
      </c>
      <c r="G94" s="21">
        <v>150</v>
      </c>
      <c r="H94" s="59"/>
      <c r="I94" s="23"/>
      <c r="J94" s="1"/>
      <c r="M94" s="62"/>
      <c r="N94" s="92" t="s">
        <v>48</v>
      </c>
      <c r="O94" s="20">
        <v>50</v>
      </c>
      <c r="P94" s="20">
        <v>150</v>
      </c>
      <c r="Q94" s="20">
        <v>100</v>
      </c>
      <c r="R94" s="21">
        <v>150</v>
      </c>
      <c r="S94" s="59"/>
      <c r="T94" s="23"/>
    </row>
    <row r="95" spans="3:20" ht="15" thickBot="1" x14ac:dyDescent="0.35">
      <c r="C95" s="76"/>
      <c r="D95" s="59"/>
      <c r="E95" s="59"/>
      <c r="F95" s="59"/>
      <c r="G95" s="59"/>
      <c r="H95" s="59"/>
      <c r="I95" s="23"/>
      <c r="M95" s="62"/>
      <c r="N95" s="76"/>
      <c r="O95" s="59"/>
      <c r="P95" s="59"/>
      <c r="Q95" s="59"/>
      <c r="R95" s="59"/>
      <c r="S95" s="59"/>
      <c r="T95" s="23"/>
    </row>
    <row r="96" spans="3:20" ht="15" thickBot="1" x14ac:dyDescent="0.35">
      <c r="C96" s="121" t="s">
        <v>49</v>
      </c>
      <c r="D96" s="122">
        <f>SUMPRODUCT(D88:G92,D81:G85)</f>
        <v>1150</v>
      </c>
      <c r="E96" s="77"/>
      <c r="F96" s="77"/>
      <c r="G96" s="77"/>
      <c r="H96" s="77"/>
      <c r="I96" s="22"/>
      <c r="M96" s="131"/>
      <c r="N96" s="121" t="s">
        <v>49</v>
      </c>
      <c r="O96" s="122">
        <f>SUMPRODUCT(O88:R92,O81:R85)</f>
        <v>750</v>
      </c>
      <c r="P96" s="77"/>
      <c r="Q96" s="77"/>
      <c r="R96" s="77"/>
      <c r="S96" s="77"/>
      <c r="T96" s="22"/>
    </row>
    <row r="97" spans="13:20" x14ac:dyDescent="0.3">
      <c r="M97" s="130"/>
      <c r="N97" s="130"/>
      <c r="O97" s="130"/>
      <c r="P97" s="130"/>
      <c r="Q97" s="130"/>
      <c r="R97" s="130"/>
      <c r="S97" s="130"/>
      <c r="T97" s="130"/>
    </row>
    <row r="98" spans="13:20" x14ac:dyDescent="0.3">
      <c r="M98" s="321"/>
      <c r="N98" s="321"/>
      <c r="O98" s="321"/>
      <c r="P98" s="321"/>
      <c r="Q98" s="321"/>
      <c r="R98" s="133"/>
      <c r="S98" s="130"/>
      <c r="T98" s="130"/>
    </row>
  </sheetData>
  <mergeCells count="15">
    <mergeCell ref="M8:S8"/>
    <mergeCell ref="M10:S10"/>
    <mergeCell ref="C2:E2"/>
    <mergeCell ref="C3:E3"/>
    <mergeCell ref="C4:E4"/>
    <mergeCell ref="C8:H8"/>
    <mergeCell ref="C26:H26"/>
    <mergeCell ref="C10:H10"/>
    <mergeCell ref="M98:Q98"/>
    <mergeCell ref="M26:R26"/>
    <mergeCell ref="M28:R28"/>
    <mergeCell ref="N78:S78"/>
    <mergeCell ref="C28:H28"/>
    <mergeCell ref="C69:H69"/>
    <mergeCell ref="C78:H7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C3F-517C-42E2-9613-CAC95DC33575}">
  <dimension ref="C3:Y69"/>
  <sheetViews>
    <sheetView zoomScale="70" zoomScaleNormal="70" workbookViewId="0">
      <selection activeCell="K3" sqref="K3"/>
    </sheetView>
  </sheetViews>
  <sheetFormatPr defaultRowHeight="14.4" x14ac:dyDescent="0.3"/>
  <sheetData>
    <row r="3" spans="3:25" x14ac:dyDescent="0.3">
      <c r="C3" s="269" t="s">
        <v>0</v>
      </c>
      <c r="D3" s="270"/>
      <c r="E3" s="271"/>
    </row>
    <row r="4" spans="3:25" x14ac:dyDescent="0.3">
      <c r="C4" s="272">
        <v>351004</v>
      </c>
      <c r="D4" s="326"/>
      <c r="E4" s="273"/>
    </row>
    <row r="5" spans="3:25" x14ac:dyDescent="0.3">
      <c r="C5" s="274" t="s">
        <v>1</v>
      </c>
      <c r="D5" s="275"/>
      <c r="E5" s="276"/>
    </row>
    <row r="9" spans="3:25" x14ac:dyDescent="0.3">
      <c r="C9" s="325" t="s">
        <v>2</v>
      </c>
      <c r="D9" s="325"/>
      <c r="E9" s="325"/>
      <c r="F9" s="325"/>
      <c r="G9" s="325"/>
      <c r="H9" s="325"/>
      <c r="L9" s="278" t="s">
        <v>50</v>
      </c>
      <c r="M9" s="279"/>
      <c r="N9" s="279"/>
      <c r="O9" s="279"/>
      <c r="P9" s="279"/>
      <c r="Q9" s="279"/>
      <c r="R9" s="279"/>
      <c r="S9" s="279"/>
      <c r="T9" s="279"/>
      <c r="U9" s="280"/>
    </row>
    <row r="10" spans="3:25" ht="15" thickBot="1" x14ac:dyDescent="0.35"/>
    <row r="11" spans="3:25" ht="15" thickBot="1" x14ac:dyDescent="0.35">
      <c r="C11" s="288" t="s">
        <v>4</v>
      </c>
      <c r="D11" s="289"/>
      <c r="E11" s="289"/>
      <c r="F11" s="289"/>
      <c r="G11" s="289"/>
      <c r="H11" s="290"/>
      <c r="J11" t="s">
        <v>220</v>
      </c>
      <c r="L11" s="327" t="s">
        <v>221</v>
      </c>
      <c r="M11" s="328"/>
      <c r="N11" s="328"/>
      <c r="O11" s="329"/>
      <c r="R11" s="156" t="s">
        <v>222</v>
      </c>
      <c r="S11" s="157"/>
      <c r="T11" s="158"/>
    </row>
    <row r="12" spans="3:25" ht="15" thickBot="1" x14ac:dyDescent="0.35">
      <c r="L12" s="148"/>
      <c r="M12" s="147" t="s">
        <v>217</v>
      </c>
      <c r="N12" s="143" t="s">
        <v>218</v>
      </c>
      <c r="O12" s="75" t="s">
        <v>219</v>
      </c>
      <c r="R12" s="148"/>
      <c r="S12" s="147" t="s">
        <v>37</v>
      </c>
      <c r="T12" s="143" t="s">
        <v>38</v>
      </c>
    </row>
    <row r="13" spans="3:25" ht="15" thickBot="1" x14ac:dyDescent="0.35">
      <c r="C13" s="148"/>
      <c r="D13" s="147" t="s">
        <v>217</v>
      </c>
      <c r="E13" s="143" t="s">
        <v>218</v>
      </c>
      <c r="F13" s="75" t="s">
        <v>219</v>
      </c>
      <c r="G13" s="154" t="s">
        <v>37</v>
      </c>
      <c r="H13" s="155" t="s">
        <v>38</v>
      </c>
      <c r="L13" s="149" t="s">
        <v>41</v>
      </c>
      <c r="M13" s="7">
        <v>18</v>
      </c>
      <c r="N13" s="8">
        <v>20</v>
      </c>
      <c r="O13" s="83">
        <v>23</v>
      </c>
      <c r="P13" s="128">
        <v>130</v>
      </c>
      <c r="R13" s="144" t="s">
        <v>217</v>
      </c>
      <c r="S13" s="135">
        <v>16</v>
      </c>
      <c r="T13" s="9">
        <v>14</v>
      </c>
      <c r="U13" s="128">
        <v>250</v>
      </c>
    </row>
    <row r="14" spans="3:25" x14ac:dyDescent="0.3">
      <c r="C14" s="149" t="s">
        <v>41</v>
      </c>
      <c r="D14" s="7">
        <v>18</v>
      </c>
      <c r="E14" s="8">
        <v>20</v>
      </c>
      <c r="F14" s="83">
        <v>23</v>
      </c>
      <c r="G14" s="138">
        <v>9999999999999</v>
      </c>
      <c r="H14" s="74">
        <v>9999999999999</v>
      </c>
      <c r="L14" s="150" t="s">
        <v>42</v>
      </c>
      <c r="M14" s="38">
        <v>16</v>
      </c>
      <c r="N14" s="12">
        <v>18</v>
      </c>
      <c r="O14" s="84">
        <v>25</v>
      </c>
      <c r="P14" s="125">
        <v>240</v>
      </c>
      <c r="R14" s="146" t="s">
        <v>218</v>
      </c>
      <c r="S14" s="136">
        <v>20</v>
      </c>
      <c r="T14" s="13">
        <v>10</v>
      </c>
      <c r="U14" s="125">
        <v>350</v>
      </c>
    </row>
    <row r="15" spans="3:25" ht="15" thickBot="1" x14ac:dyDescent="0.35">
      <c r="C15" s="150" t="s">
        <v>42</v>
      </c>
      <c r="D15" s="38">
        <v>16</v>
      </c>
      <c r="E15" s="12">
        <v>18</v>
      </c>
      <c r="F15" s="84">
        <v>25</v>
      </c>
      <c r="G15" s="136">
        <v>9999999999999</v>
      </c>
      <c r="H15" s="13">
        <v>9999999999999</v>
      </c>
      <c r="L15" s="151" t="s">
        <v>43</v>
      </c>
      <c r="M15" s="19">
        <v>20</v>
      </c>
      <c r="N15" s="20">
        <v>14</v>
      </c>
      <c r="O15" s="85">
        <v>22</v>
      </c>
      <c r="P15" s="126">
        <v>380</v>
      </c>
      <c r="R15" s="145" t="s">
        <v>219</v>
      </c>
      <c r="S15" s="140">
        <v>18</v>
      </c>
      <c r="T15" s="153">
        <v>12</v>
      </c>
      <c r="U15" s="126">
        <v>450</v>
      </c>
    </row>
    <row r="16" spans="3:25" ht="15" thickBot="1" x14ac:dyDescent="0.35">
      <c r="C16" s="151" t="s">
        <v>43</v>
      </c>
      <c r="D16" s="152">
        <v>20</v>
      </c>
      <c r="E16" s="141">
        <v>14</v>
      </c>
      <c r="F16" s="142">
        <v>22</v>
      </c>
      <c r="G16" s="137">
        <v>9999999999999</v>
      </c>
      <c r="H16" s="21">
        <v>9999999999999</v>
      </c>
      <c r="M16" s="160">
        <v>250</v>
      </c>
      <c r="N16" s="123">
        <v>350</v>
      </c>
      <c r="O16" s="124">
        <v>450</v>
      </c>
      <c r="S16" s="160">
        <v>350</v>
      </c>
      <c r="T16" s="124">
        <v>400</v>
      </c>
      <c r="Y16" t="s">
        <v>225</v>
      </c>
    </row>
    <row r="17" spans="3:19" x14ac:dyDescent="0.3">
      <c r="C17" s="144" t="s">
        <v>217</v>
      </c>
      <c r="D17" s="138">
        <v>0</v>
      </c>
      <c r="E17" s="73">
        <v>9999999999999</v>
      </c>
      <c r="F17" s="74">
        <v>9999999999999</v>
      </c>
      <c r="G17" s="135">
        <v>16</v>
      </c>
      <c r="H17" s="9">
        <v>14</v>
      </c>
    </row>
    <row r="18" spans="3:19" ht="15" thickBot="1" x14ac:dyDescent="0.35">
      <c r="C18" s="146" t="s">
        <v>218</v>
      </c>
      <c r="D18" s="136">
        <v>9999999999999</v>
      </c>
      <c r="E18" s="12">
        <v>0</v>
      </c>
      <c r="F18" s="13">
        <v>9999999999999</v>
      </c>
      <c r="G18" s="136">
        <v>20</v>
      </c>
      <c r="H18" s="13">
        <v>10</v>
      </c>
    </row>
    <row r="19" spans="3:19" ht="15" thickBot="1" x14ac:dyDescent="0.35">
      <c r="C19" s="145" t="s">
        <v>219</v>
      </c>
      <c r="D19" s="137">
        <v>9999999999999</v>
      </c>
      <c r="E19" s="20">
        <v>9999999999999</v>
      </c>
      <c r="F19" s="21">
        <v>0</v>
      </c>
      <c r="G19" s="137">
        <v>18</v>
      </c>
      <c r="H19" s="21">
        <v>12</v>
      </c>
      <c r="L19" s="327" t="s">
        <v>223</v>
      </c>
      <c r="M19" s="328"/>
      <c r="N19" s="328"/>
      <c r="O19" s="328"/>
      <c r="P19" s="328"/>
      <c r="Q19" s="329"/>
    </row>
    <row r="20" spans="3:19" ht="15" thickBot="1" x14ac:dyDescent="0.35">
      <c r="L20" s="161"/>
      <c r="M20" s="162" t="s">
        <v>217</v>
      </c>
      <c r="N20" s="163" t="s">
        <v>218</v>
      </c>
      <c r="O20" s="164" t="s">
        <v>219</v>
      </c>
      <c r="P20" s="165" t="s">
        <v>37</v>
      </c>
      <c r="Q20" s="166" t="s">
        <v>38</v>
      </c>
    </row>
    <row r="21" spans="3:19" ht="15" thickBot="1" x14ac:dyDescent="0.35">
      <c r="C21" s="260" t="s">
        <v>226</v>
      </c>
      <c r="D21" s="261"/>
      <c r="E21" s="261"/>
      <c r="F21" s="262"/>
      <c r="L21" s="149" t="s">
        <v>41</v>
      </c>
      <c r="M21" s="7">
        <v>18</v>
      </c>
      <c r="N21" s="8">
        <v>20</v>
      </c>
      <c r="O21" s="83">
        <v>23</v>
      </c>
      <c r="P21" s="185">
        <v>100</v>
      </c>
      <c r="Q21" s="180">
        <v>100</v>
      </c>
    </row>
    <row r="22" spans="3:19" ht="15" thickBot="1" x14ac:dyDescent="0.35">
      <c r="C22" s="148"/>
      <c r="D22" s="147">
        <v>250</v>
      </c>
      <c r="E22" s="143">
        <v>350</v>
      </c>
      <c r="F22" s="75">
        <v>450</v>
      </c>
      <c r="L22" s="150" t="s">
        <v>42</v>
      </c>
      <c r="M22" s="38">
        <v>16</v>
      </c>
      <c r="N22" s="12">
        <v>18</v>
      </c>
      <c r="O22" s="84">
        <v>25</v>
      </c>
      <c r="P22" s="182">
        <v>100</v>
      </c>
      <c r="Q22" s="181">
        <v>100</v>
      </c>
    </row>
    <row r="23" spans="3:19" ht="15" thickBot="1" x14ac:dyDescent="0.35">
      <c r="C23" s="149">
        <v>130</v>
      </c>
      <c r="D23" s="188" t="s">
        <v>229</v>
      </c>
      <c r="E23" s="35">
        <v>20</v>
      </c>
      <c r="F23" s="191" t="s">
        <v>231</v>
      </c>
      <c r="G23" s="62"/>
      <c r="L23" s="151" t="s">
        <v>43</v>
      </c>
      <c r="M23" s="152">
        <v>20</v>
      </c>
      <c r="N23" s="141">
        <v>14</v>
      </c>
      <c r="O23" s="142">
        <v>22</v>
      </c>
      <c r="P23" s="183">
        <v>100</v>
      </c>
      <c r="Q23" s="186">
        <v>100</v>
      </c>
    </row>
    <row r="24" spans="3:19" x14ac:dyDescent="0.3">
      <c r="C24" s="150">
        <v>240</v>
      </c>
      <c r="D24" s="187" t="s">
        <v>228</v>
      </c>
      <c r="E24" s="32">
        <v>18</v>
      </c>
      <c r="F24" s="27">
        <v>25</v>
      </c>
      <c r="G24" s="62"/>
      <c r="L24" s="144" t="s">
        <v>217</v>
      </c>
      <c r="M24" s="138">
        <v>0</v>
      </c>
      <c r="N24" s="179">
        <v>100</v>
      </c>
      <c r="O24" s="180">
        <v>100</v>
      </c>
      <c r="P24" s="7">
        <v>16</v>
      </c>
      <c r="Q24" s="9">
        <v>14</v>
      </c>
    </row>
    <row r="25" spans="3:19" x14ac:dyDescent="0.3">
      <c r="C25" s="150">
        <v>380</v>
      </c>
      <c r="D25" s="31">
        <v>20</v>
      </c>
      <c r="E25" s="42" t="s">
        <v>227</v>
      </c>
      <c r="F25" s="30" t="s">
        <v>230</v>
      </c>
      <c r="G25" s="62"/>
      <c r="L25" s="146" t="s">
        <v>218</v>
      </c>
      <c r="M25" s="182">
        <v>100</v>
      </c>
      <c r="N25" s="12">
        <v>0</v>
      </c>
      <c r="O25" s="181">
        <v>100</v>
      </c>
      <c r="P25" s="38">
        <v>20</v>
      </c>
      <c r="Q25" s="13">
        <v>10</v>
      </c>
    </row>
    <row r="26" spans="3:19" ht="15" thickBot="1" x14ac:dyDescent="0.35">
      <c r="C26" s="151">
        <v>300</v>
      </c>
      <c r="D26" s="189">
        <v>0</v>
      </c>
      <c r="E26" s="190">
        <v>0</v>
      </c>
      <c r="F26" s="192" t="s">
        <v>232</v>
      </c>
      <c r="L26" s="145" t="s">
        <v>219</v>
      </c>
      <c r="M26" s="183">
        <v>100</v>
      </c>
      <c r="N26" s="184">
        <v>100</v>
      </c>
      <c r="O26" s="21">
        <v>0</v>
      </c>
      <c r="P26" s="19">
        <v>18</v>
      </c>
      <c r="Q26" s="21">
        <v>12</v>
      </c>
    </row>
    <row r="27" spans="3:19" ht="15" thickBot="1" x14ac:dyDescent="0.35"/>
    <row r="28" spans="3:19" ht="15" thickBot="1" x14ac:dyDescent="0.35">
      <c r="C28" s="322" t="s">
        <v>207</v>
      </c>
      <c r="D28" s="323"/>
      <c r="E28" s="323"/>
      <c r="F28" s="323"/>
      <c r="G28" s="323"/>
      <c r="H28" s="324"/>
      <c r="L28" s="327" t="s">
        <v>224</v>
      </c>
      <c r="M28" s="328"/>
      <c r="N28" s="328"/>
      <c r="O28" s="328"/>
      <c r="P28" s="328"/>
      <c r="Q28" s="329"/>
    </row>
    <row r="29" spans="3:19" ht="15" thickBot="1" x14ac:dyDescent="0.35">
      <c r="L29" s="161"/>
      <c r="M29" s="162" t="s">
        <v>217</v>
      </c>
      <c r="N29" s="163" t="s">
        <v>218</v>
      </c>
      <c r="O29" s="164" t="s">
        <v>219</v>
      </c>
      <c r="P29" s="165" t="s">
        <v>37</v>
      </c>
      <c r="Q29" s="166" t="s">
        <v>38</v>
      </c>
    </row>
    <row r="30" spans="3:19" ht="15" thickBot="1" x14ac:dyDescent="0.35">
      <c r="C30" s="260" t="s">
        <v>226</v>
      </c>
      <c r="D30" s="261"/>
      <c r="E30" s="261"/>
      <c r="F30" s="262"/>
      <c r="L30" s="149" t="s">
        <v>41</v>
      </c>
      <c r="M30" s="7">
        <v>10</v>
      </c>
      <c r="N30" s="8">
        <v>0</v>
      </c>
      <c r="O30" s="83">
        <v>120</v>
      </c>
      <c r="P30" s="138">
        <v>0</v>
      </c>
      <c r="Q30" s="139">
        <v>0</v>
      </c>
      <c r="R30" s="173">
        <f>SUM(M30:Q30)</f>
        <v>130</v>
      </c>
      <c r="S30" s="129">
        <v>130</v>
      </c>
    </row>
    <row r="31" spans="3:19" ht="15" thickBot="1" x14ac:dyDescent="0.35">
      <c r="C31" s="148"/>
      <c r="D31" s="147">
        <v>250</v>
      </c>
      <c r="E31" s="143">
        <v>350</v>
      </c>
      <c r="F31" s="75">
        <v>450</v>
      </c>
      <c r="L31" s="150" t="s">
        <v>42</v>
      </c>
      <c r="M31" s="38">
        <v>240</v>
      </c>
      <c r="N31" s="12">
        <v>0</v>
      </c>
      <c r="O31" s="84">
        <v>0</v>
      </c>
      <c r="P31" s="136">
        <v>0</v>
      </c>
      <c r="Q31" s="84">
        <v>0</v>
      </c>
      <c r="R31" s="177">
        <f t="shared" ref="R31:R34" si="0">SUM(M31:Q31)</f>
        <v>240</v>
      </c>
      <c r="S31" s="25">
        <v>240</v>
      </c>
    </row>
    <row r="32" spans="3:19" ht="15" thickBot="1" x14ac:dyDescent="0.35">
      <c r="C32" s="149">
        <v>130</v>
      </c>
      <c r="D32" s="188" t="s">
        <v>229</v>
      </c>
      <c r="E32" s="35">
        <v>20</v>
      </c>
      <c r="F32" s="191" t="s">
        <v>231</v>
      </c>
      <c r="G32" s="170" t="s">
        <v>208</v>
      </c>
      <c r="L32" s="151" t="s">
        <v>43</v>
      </c>
      <c r="M32" s="152">
        <v>0</v>
      </c>
      <c r="N32" s="141">
        <v>350</v>
      </c>
      <c r="O32" s="142">
        <v>30</v>
      </c>
      <c r="P32" s="137">
        <v>0</v>
      </c>
      <c r="Q32" s="85">
        <v>0</v>
      </c>
      <c r="R32" s="177">
        <f t="shared" si="0"/>
        <v>380</v>
      </c>
      <c r="S32" s="25">
        <v>380</v>
      </c>
    </row>
    <row r="33" spans="3:19" x14ac:dyDescent="0.3">
      <c r="C33" s="150">
        <v>240</v>
      </c>
      <c r="D33" s="187" t="s">
        <v>228</v>
      </c>
      <c r="E33" s="32">
        <v>18</v>
      </c>
      <c r="F33" s="27">
        <v>25</v>
      </c>
      <c r="G33" s="171" t="s">
        <v>211</v>
      </c>
      <c r="L33" s="144" t="s">
        <v>217</v>
      </c>
      <c r="M33" s="138">
        <v>0</v>
      </c>
      <c r="N33" s="73">
        <v>0</v>
      </c>
      <c r="O33" s="74">
        <v>0</v>
      </c>
      <c r="P33" s="135">
        <v>250</v>
      </c>
      <c r="Q33" s="83">
        <v>0</v>
      </c>
      <c r="R33" s="177">
        <f t="shared" si="0"/>
        <v>250</v>
      </c>
      <c r="S33" s="25">
        <v>250</v>
      </c>
    </row>
    <row r="34" spans="3:19" x14ac:dyDescent="0.3">
      <c r="C34" s="150">
        <v>380</v>
      </c>
      <c r="D34" s="31">
        <v>20</v>
      </c>
      <c r="E34" s="42" t="s">
        <v>227</v>
      </c>
      <c r="F34" s="30" t="s">
        <v>230</v>
      </c>
      <c r="G34" s="171" t="s">
        <v>236</v>
      </c>
      <c r="L34" s="146" t="s">
        <v>218</v>
      </c>
      <c r="M34" s="136">
        <v>0</v>
      </c>
      <c r="N34" s="12">
        <v>0</v>
      </c>
      <c r="O34" s="13">
        <v>0</v>
      </c>
      <c r="P34" s="136">
        <v>0</v>
      </c>
      <c r="Q34" s="84">
        <v>350</v>
      </c>
      <c r="R34" s="177">
        <f t="shared" si="0"/>
        <v>350</v>
      </c>
      <c r="S34" s="25">
        <v>350</v>
      </c>
    </row>
    <row r="35" spans="3:19" ht="15" thickBot="1" x14ac:dyDescent="0.35">
      <c r="C35" s="151">
        <v>300</v>
      </c>
      <c r="D35" s="189">
        <v>0</v>
      </c>
      <c r="E35" s="190">
        <v>0</v>
      </c>
      <c r="F35" s="192" t="s">
        <v>232</v>
      </c>
      <c r="G35" s="193" t="s">
        <v>238</v>
      </c>
      <c r="L35" s="145" t="s">
        <v>219</v>
      </c>
      <c r="M35" s="140">
        <v>0</v>
      </c>
      <c r="N35" s="141">
        <v>0</v>
      </c>
      <c r="O35" s="153">
        <v>300</v>
      </c>
      <c r="P35" s="140">
        <v>100</v>
      </c>
      <c r="Q35" s="142">
        <v>50</v>
      </c>
      <c r="R35" s="178">
        <f>SUM(M35:Q35)</f>
        <v>450</v>
      </c>
      <c r="S35" s="81">
        <v>450</v>
      </c>
    </row>
    <row r="36" spans="3:19" ht="15" thickBot="1" x14ac:dyDescent="0.35">
      <c r="C36" s="60"/>
      <c r="D36" s="167" t="s">
        <v>235</v>
      </c>
      <c r="E36" s="168" t="s">
        <v>237</v>
      </c>
      <c r="F36" s="169" t="s">
        <v>234</v>
      </c>
      <c r="G36" s="194" t="s">
        <v>233</v>
      </c>
      <c r="M36" s="173">
        <f>SUM(M30:M35)</f>
        <v>250</v>
      </c>
      <c r="N36" s="174">
        <f t="shared" ref="N36:P36" si="1">SUM(N30:N35)</f>
        <v>350</v>
      </c>
      <c r="O36" s="174">
        <f t="shared" si="1"/>
        <v>450</v>
      </c>
      <c r="P36" s="174">
        <f t="shared" si="1"/>
        <v>350</v>
      </c>
      <c r="Q36" s="175">
        <f>SUM(Q30:Q35)</f>
        <v>400</v>
      </c>
    </row>
    <row r="37" spans="3:19" ht="15" thickBot="1" x14ac:dyDescent="0.35">
      <c r="M37" s="176">
        <v>250</v>
      </c>
      <c r="N37" s="127">
        <v>350</v>
      </c>
      <c r="O37" s="127">
        <v>450</v>
      </c>
      <c r="P37" s="127">
        <v>350</v>
      </c>
      <c r="Q37" s="81">
        <v>400</v>
      </c>
      <c r="S37" s="172">
        <f>SUMPRODUCT(M30:Q35,M21:Q26)</f>
        <v>22240</v>
      </c>
    </row>
    <row r="38" spans="3:19" ht="15" thickBot="1" x14ac:dyDescent="0.35">
      <c r="C38" s="260" t="s">
        <v>226</v>
      </c>
      <c r="D38" s="261"/>
      <c r="E38" s="261"/>
      <c r="F38" s="262"/>
    </row>
    <row r="39" spans="3:19" ht="15" thickBot="1" x14ac:dyDescent="0.35">
      <c r="C39" s="148"/>
      <c r="D39" s="147">
        <v>250</v>
      </c>
      <c r="E39" s="143">
        <v>350</v>
      </c>
      <c r="F39" s="75">
        <v>450</v>
      </c>
    </row>
    <row r="40" spans="3:19" x14ac:dyDescent="0.3">
      <c r="C40" s="149">
        <v>130</v>
      </c>
      <c r="D40" s="188" t="s">
        <v>229</v>
      </c>
      <c r="E40" s="46">
        <v>5</v>
      </c>
      <c r="F40" s="191" t="s">
        <v>231</v>
      </c>
      <c r="G40" s="170" t="s">
        <v>208</v>
      </c>
    </row>
    <row r="41" spans="3:19" x14ac:dyDescent="0.3">
      <c r="C41" s="150">
        <v>240</v>
      </c>
      <c r="D41" s="187" t="s">
        <v>228</v>
      </c>
      <c r="E41" s="47">
        <v>5</v>
      </c>
      <c r="F41" s="54">
        <v>4</v>
      </c>
      <c r="G41" s="171" t="s">
        <v>211</v>
      </c>
    </row>
    <row r="42" spans="3:19" x14ac:dyDescent="0.3">
      <c r="C42" s="150">
        <v>380</v>
      </c>
      <c r="D42" s="48">
        <v>3</v>
      </c>
      <c r="E42" s="42" t="s">
        <v>227</v>
      </c>
      <c r="F42" s="30" t="s">
        <v>230</v>
      </c>
      <c r="G42" s="171" t="s">
        <v>236</v>
      </c>
    </row>
    <row r="43" spans="3:19" ht="15" thickBot="1" x14ac:dyDescent="0.35">
      <c r="C43" s="151">
        <v>300</v>
      </c>
      <c r="D43" s="195">
        <v>5</v>
      </c>
      <c r="E43" s="196">
        <v>8</v>
      </c>
      <c r="F43" s="192" t="s">
        <v>232</v>
      </c>
      <c r="G43" s="193" t="s">
        <v>238</v>
      </c>
    </row>
    <row r="44" spans="3:19" ht="15" thickBot="1" x14ac:dyDescent="0.35">
      <c r="C44" s="60"/>
      <c r="D44" s="167" t="s">
        <v>235</v>
      </c>
      <c r="E44" s="168" t="s">
        <v>237</v>
      </c>
      <c r="F44" s="169" t="s">
        <v>234</v>
      </c>
      <c r="G44" s="194" t="s">
        <v>233</v>
      </c>
    </row>
    <row r="46" spans="3:19" ht="15" thickBot="1" x14ac:dyDescent="0.35">
      <c r="F46" s="159"/>
    </row>
    <row r="47" spans="3:19" ht="15" thickBot="1" x14ac:dyDescent="0.35">
      <c r="C47" s="327" t="s">
        <v>239</v>
      </c>
      <c r="D47" s="328"/>
      <c r="E47" s="329"/>
      <c r="F47" s="62"/>
    </row>
    <row r="48" spans="3:19" ht="15" thickBot="1" x14ac:dyDescent="0.35">
      <c r="C48" s="148"/>
      <c r="D48" s="147">
        <v>350</v>
      </c>
      <c r="E48" s="75">
        <v>400</v>
      </c>
      <c r="F48" s="132"/>
      <c r="G48" s="62"/>
    </row>
    <row r="49" spans="3:8" x14ac:dyDescent="0.3">
      <c r="C49" s="149">
        <v>250</v>
      </c>
      <c r="D49" s="201" t="s">
        <v>242</v>
      </c>
      <c r="E49" s="199">
        <v>14</v>
      </c>
      <c r="F49" s="132"/>
      <c r="G49" s="62"/>
    </row>
    <row r="50" spans="3:8" x14ac:dyDescent="0.3">
      <c r="C50" s="150">
        <v>350</v>
      </c>
      <c r="D50" s="198">
        <v>20</v>
      </c>
      <c r="E50" s="197" t="s">
        <v>240</v>
      </c>
      <c r="F50" s="132"/>
      <c r="G50" s="62"/>
    </row>
    <row r="51" spans="3:8" ht="15" thickBot="1" x14ac:dyDescent="0.35">
      <c r="C51" s="151">
        <v>150</v>
      </c>
      <c r="D51" s="202" t="s">
        <v>243</v>
      </c>
      <c r="E51" s="200" t="s">
        <v>241</v>
      </c>
      <c r="F51" s="62"/>
    </row>
    <row r="53" spans="3:8" x14ac:dyDescent="0.3">
      <c r="C53" s="322" t="s">
        <v>207</v>
      </c>
      <c r="D53" s="323"/>
      <c r="E53" s="323"/>
      <c r="F53" s="323"/>
      <c r="G53" s="323"/>
      <c r="H53" s="324"/>
    </row>
    <row r="54" spans="3:8" ht="15" thickBot="1" x14ac:dyDescent="0.35"/>
    <row r="55" spans="3:8" ht="15" thickBot="1" x14ac:dyDescent="0.35">
      <c r="C55" s="327" t="s">
        <v>239</v>
      </c>
      <c r="D55" s="328"/>
      <c r="E55" s="329"/>
      <c r="F55" s="203"/>
      <c r="G55" s="130"/>
    </row>
    <row r="56" spans="3:8" ht="15" thickBot="1" x14ac:dyDescent="0.35">
      <c r="C56" s="148"/>
      <c r="D56" s="147">
        <v>350</v>
      </c>
      <c r="E56" s="75">
        <v>400</v>
      </c>
      <c r="F56" s="62"/>
      <c r="G56" s="130"/>
    </row>
    <row r="57" spans="3:8" x14ac:dyDescent="0.3">
      <c r="C57" s="149">
        <v>250</v>
      </c>
      <c r="D57" s="201" t="s">
        <v>242</v>
      </c>
      <c r="E57" s="199">
        <v>14</v>
      </c>
      <c r="F57" s="170" t="s">
        <v>208</v>
      </c>
      <c r="G57" s="130"/>
    </row>
    <row r="58" spans="3:8" x14ac:dyDescent="0.3">
      <c r="C58" s="150">
        <v>350</v>
      </c>
      <c r="D58" s="198">
        <v>20</v>
      </c>
      <c r="E58" s="197" t="s">
        <v>240</v>
      </c>
      <c r="F58" s="171" t="s">
        <v>9</v>
      </c>
      <c r="G58" s="130"/>
    </row>
    <row r="59" spans="3:8" ht="15" thickBot="1" x14ac:dyDescent="0.35">
      <c r="C59" s="151">
        <v>150</v>
      </c>
      <c r="D59" s="202" t="s">
        <v>243</v>
      </c>
      <c r="E59" s="200" t="s">
        <v>241</v>
      </c>
      <c r="F59" s="171" t="s">
        <v>245</v>
      </c>
      <c r="G59" s="130"/>
    </row>
    <row r="60" spans="3:8" ht="15" thickBot="1" x14ac:dyDescent="0.35">
      <c r="C60" s="62"/>
      <c r="D60" s="167" t="s">
        <v>244</v>
      </c>
      <c r="E60" s="168" t="s">
        <v>246</v>
      </c>
      <c r="F60" s="194" t="s">
        <v>233</v>
      </c>
      <c r="G60" s="130"/>
    </row>
    <row r="61" spans="3:8" ht="15" thickBot="1" x14ac:dyDescent="0.35">
      <c r="C61" s="130"/>
      <c r="D61" s="130"/>
      <c r="E61" s="130"/>
      <c r="F61" s="130"/>
      <c r="G61" s="62"/>
    </row>
    <row r="62" spans="3:8" ht="15" thickBot="1" x14ac:dyDescent="0.35">
      <c r="C62" s="327" t="s">
        <v>239</v>
      </c>
      <c r="D62" s="328"/>
      <c r="E62" s="329"/>
      <c r="F62" s="203"/>
      <c r="G62" s="130"/>
    </row>
    <row r="63" spans="3:8" ht="15" thickBot="1" x14ac:dyDescent="0.35">
      <c r="C63" s="148"/>
      <c r="D63" s="147">
        <v>350</v>
      </c>
      <c r="E63" s="75">
        <v>400</v>
      </c>
      <c r="F63" s="62"/>
      <c r="G63" s="130"/>
    </row>
    <row r="64" spans="3:8" x14ac:dyDescent="0.3">
      <c r="C64" s="149">
        <v>250</v>
      </c>
      <c r="D64" s="201" t="s">
        <v>242</v>
      </c>
      <c r="E64" s="204">
        <v>4</v>
      </c>
      <c r="F64" s="170" t="s">
        <v>208</v>
      </c>
      <c r="G64" s="130"/>
    </row>
    <row r="65" spans="3:7" x14ac:dyDescent="0.3">
      <c r="C65" s="150">
        <v>350</v>
      </c>
      <c r="D65" s="205">
        <v>4</v>
      </c>
      <c r="E65" s="197" t="s">
        <v>240</v>
      </c>
      <c r="F65" s="171" t="s">
        <v>9</v>
      </c>
      <c r="G65" s="130"/>
    </row>
    <row r="66" spans="3:7" ht="15" thickBot="1" x14ac:dyDescent="0.35">
      <c r="C66" s="151">
        <v>150</v>
      </c>
      <c r="D66" s="202" t="s">
        <v>243</v>
      </c>
      <c r="E66" s="200" t="s">
        <v>241</v>
      </c>
      <c r="F66" s="171" t="s">
        <v>245</v>
      </c>
      <c r="G66" s="130"/>
    </row>
    <row r="67" spans="3:7" ht="15" thickBot="1" x14ac:dyDescent="0.35">
      <c r="C67" s="62"/>
      <c r="D67" s="167" t="s">
        <v>244</v>
      </c>
      <c r="E67" s="168" t="s">
        <v>246</v>
      </c>
      <c r="F67" s="194" t="s">
        <v>233</v>
      </c>
      <c r="G67" s="130"/>
    </row>
    <row r="68" spans="3:7" x14ac:dyDescent="0.3">
      <c r="C68" s="62"/>
      <c r="D68" s="62"/>
      <c r="E68" s="62"/>
      <c r="F68" s="62"/>
      <c r="G68" s="130"/>
    </row>
    <row r="69" spans="3:7" x14ac:dyDescent="0.3">
      <c r="C69" s="130"/>
      <c r="D69" s="130"/>
      <c r="E69" s="130"/>
      <c r="F69" s="130"/>
      <c r="G69" s="62"/>
    </row>
  </sheetData>
  <mergeCells count="17">
    <mergeCell ref="C38:F38"/>
    <mergeCell ref="C53:H53"/>
    <mergeCell ref="C47:E47"/>
    <mergeCell ref="C55:E55"/>
    <mergeCell ref="C62:E62"/>
    <mergeCell ref="L9:U9"/>
    <mergeCell ref="L19:Q19"/>
    <mergeCell ref="L28:Q28"/>
    <mergeCell ref="C21:F21"/>
    <mergeCell ref="C30:F30"/>
    <mergeCell ref="C28:H28"/>
    <mergeCell ref="L11:O11"/>
    <mergeCell ref="C3:E3"/>
    <mergeCell ref="C4:E4"/>
    <mergeCell ref="C5:E5"/>
    <mergeCell ref="C9:H9"/>
    <mergeCell ref="C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Sensitivity Report 3</vt:lpstr>
      <vt:lpstr>Sensitivity Report 4</vt:lpstr>
      <vt:lpstr>ЛР7 Задача 1</vt:lpstr>
      <vt:lpstr>ЛР7 Задача 2</vt:lpstr>
      <vt:lpstr>Linearity Report 1</vt:lpstr>
      <vt:lpstr>ЛР6 Задача 2</vt:lpstr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2025-11-24T19:39:14Z</dcterms:modified>
</cp:coreProperties>
</file>