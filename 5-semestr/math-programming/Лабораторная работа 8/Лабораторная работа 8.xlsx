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8\"/>
    </mc:Choice>
  </mc:AlternateContent>
  <xr:revisionPtr revIDLastSave="0" documentId="13_ncr:1_{9994E426-3DF2-4414-BBA0-D23E261AB4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K19" i="1"/>
  <c r="J20" i="1" s="1"/>
  <c r="J19" i="1"/>
  <c r="J17" i="1"/>
  <c r="H16" i="1"/>
  <c r="I16" i="1"/>
  <c r="I19" i="1" s="1"/>
  <c r="H20" i="1" s="1"/>
  <c r="G21" i="1" s="1"/>
  <c r="J16" i="1"/>
  <c r="J23" i="1" s="1"/>
  <c r="K16" i="1"/>
  <c r="K20" i="1" s="1"/>
  <c r="J21" i="1" s="1"/>
  <c r="I22" i="1" s="1"/>
  <c r="H23" i="1" s="1"/>
  <c r="L16" i="1"/>
  <c r="M16" i="1"/>
  <c r="N16" i="1"/>
  <c r="O16" i="1"/>
  <c r="G16" i="1"/>
  <c r="G17" i="1" l="1"/>
  <c r="I21" i="1"/>
  <c r="H22" i="1" s="1"/>
  <c r="G23" i="1" s="1"/>
  <c r="H19" i="1"/>
  <c r="G20" i="1" s="1"/>
  <c r="I17" i="1"/>
  <c r="H17" i="1"/>
  <c r="G18" i="1" s="1"/>
  <c r="I18" i="1"/>
  <c r="I20" i="1"/>
  <c r="H21" i="1" s="1"/>
  <c r="G22" i="1" s="1"/>
  <c r="J22" i="1"/>
  <c r="I23" i="1" s="1"/>
  <c r="H18" i="1"/>
  <c r="G19" i="1" s="1"/>
</calcChain>
</file>

<file path=xl/sharedStrings.xml><?xml version="1.0" encoding="utf-8"?>
<sst xmlns="http://schemas.openxmlformats.org/spreadsheetml/2006/main" count="132" uniqueCount="107">
  <si>
    <t>Задача №1</t>
  </si>
  <si>
    <t>f(t)</t>
  </si>
  <si>
    <t>t</t>
  </si>
  <si>
    <t>x</t>
  </si>
  <si>
    <t>Наривончик Александр</t>
  </si>
  <si>
    <t>Вариант 22</t>
  </si>
  <si>
    <t>Bm(t)</t>
  </si>
  <si>
    <t>B1(t)</t>
  </si>
  <si>
    <t>B2(t)</t>
  </si>
  <si>
    <t>B3(t)</t>
  </si>
  <si>
    <t>B4(t)</t>
  </si>
  <si>
    <t>B5(t)</t>
  </si>
  <si>
    <t>B6(t)</t>
  </si>
  <si>
    <t>B7(t)</t>
  </si>
  <si>
    <t>B8(t)</t>
  </si>
  <si>
    <t>B1(t) = max</t>
  </si>
  <si>
    <t>P</t>
  </si>
  <si>
    <t>f(0) - p</t>
  </si>
  <si>
    <t>Bm(t) = max</t>
  </si>
  <si>
    <t>f(t)  + Bm-1(t+1)</t>
  </si>
  <si>
    <t>f(0)  + Bm-1(t+1) - p</t>
  </si>
  <si>
    <t xml:space="preserve"> </t>
  </si>
  <si>
    <t>В рамках данной задачи оптимальная стратегия заключается в замене оборудования на 5-й год.</t>
  </si>
  <si>
    <t>Максимальная прибыль составляет B8(0) = 70.</t>
  </si>
  <si>
    <t>Задача №2</t>
  </si>
  <si>
    <t>Инвестиции, млн. руб.</t>
  </si>
  <si>
    <t>Прирост выпуска продукции, млн. руб.</t>
  </si>
  <si>
    <t>П1</t>
  </si>
  <si>
    <t>П2</t>
  </si>
  <si>
    <t>П3</t>
  </si>
  <si>
    <t>П4</t>
  </si>
  <si>
    <t>x1*(c)</t>
  </si>
  <si>
    <t>B1(c)</t>
  </si>
  <si>
    <t>Максимально возможный прирост выпуска продукции в зависимости от инвестиций</t>
  </si>
  <si>
    <t>Предприятие 1</t>
  </si>
  <si>
    <t>Предприятие 2</t>
  </si>
  <si>
    <t>c</t>
  </si>
  <si>
    <t>B2(c)</t>
  </si>
  <si>
    <t>X*(c)</t>
  </si>
  <si>
    <t>0 + 8</t>
  </si>
  <si>
    <t>0 + 13</t>
  </si>
  <si>
    <t>0 + 22</t>
  </si>
  <si>
    <t>0 + 39</t>
  </si>
  <si>
    <t>0 + 31</t>
  </si>
  <si>
    <t>0 + 0</t>
  </si>
  <si>
    <t>13 + 0</t>
  </si>
  <si>
    <t>22 + 0</t>
  </si>
  <si>
    <t>0 + 10</t>
  </si>
  <si>
    <t>13 + 10</t>
  </si>
  <si>
    <t>22 + 10</t>
  </si>
  <si>
    <t>0 + 38</t>
  </si>
  <si>
    <t>Предприятие 3</t>
  </si>
  <si>
    <t>10 + 0</t>
  </si>
  <si>
    <t>10 + 8</t>
  </si>
  <si>
    <t>10 + 13</t>
  </si>
  <si>
    <t>10 + 22</t>
  </si>
  <si>
    <t>10 + 31</t>
  </si>
  <si>
    <t>12 + 0</t>
  </si>
  <si>
    <t>12 + 8</t>
  </si>
  <si>
    <t>12 + 13</t>
  </si>
  <si>
    <t>12 + 22</t>
  </si>
  <si>
    <t>21 + 0</t>
  </si>
  <si>
    <t>21 + 8</t>
  </si>
  <si>
    <t>21 + 13</t>
  </si>
  <si>
    <t>38 + 0</t>
  </si>
  <si>
    <t>38 + 8</t>
  </si>
  <si>
    <t>40 + 0</t>
  </si>
  <si>
    <t>7 + 0</t>
  </si>
  <si>
    <t>B3(c)</t>
  </si>
  <si>
    <t>0 + 18</t>
  </si>
  <si>
    <t>7 + 10</t>
  </si>
  <si>
    <t>14 + 0</t>
  </si>
  <si>
    <t>0 + 23</t>
  </si>
  <si>
    <t>7 + 18</t>
  </si>
  <si>
    <t>14 + 10</t>
  </si>
  <si>
    <t>7 + 23</t>
  </si>
  <si>
    <t>14 + 18</t>
  </si>
  <si>
    <t>29 + 0</t>
  </si>
  <si>
    <t>0 + 46</t>
  </si>
  <si>
    <t>7 + 38</t>
  </si>
  <si>
    <t>14 + 23</t>
  </si>
  <si>
    <t>22 + 18</t>
  </si>
  <si>
    <t>29 + 10</t>
  </si>
  <si>
    <t>Предприятие 4</t>
  </si>
  <si>
    <t>B4(c)</t>
  </si>
  <si>
    <t>0 + 25</t>
  </si>
  <si>
    <t>10 + 10</t>
  </si>
  <si>
    <t>10 + 18</t>
  </si>
  <si>
    <t>10 + 25</t>
  </si>
  <si>
    <t>10 + 38</t>
  </si>
  <si>
    <t>13 + 18</t>
  </si>
  <si>
    <t>13 + 25</t>
  </si>
  <si>
    <t>23 + 0</t>
  </si>
  <si>
    <t>23 + 10</t>
  </si>
  <si>
    <t>23 + 18</t>
  </si>
  <si>
    <t>30 + 0</t>
  </si>
  <si>
    <t>30 + 10</t>
  </si>
  <si>
    <t>0/50</t>
  </si>
  <si>
    <t>X1*(c)</t>
  </si>
  <si>
    <t>X2*(c)</t>
  </si>
  <si>
    <t>X3*(c)</t>
  </si>
  <si>
    <t>X4*(c)</t>
  </si>
  <si>
    <t>1 предприятие</t>
  </si>
  <si>
    <t>2 предприятие</t>
  </si>
  <si>
    <t>3 предприятие</t>
  </si>
  <si>
    <t>4 предприятие</t>
  </si>
  <si>
    <t>41 + 0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</si>
</sst>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/>
    <xf numFmtId="0" fontId="0" fillId="0" borderId="4" xfId="0" applyFill="1" applyBorder="1"/>
    <xf numFmtId="0" fontId="0" fillId="0" borderId="3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Fill="1" applyBorder="1"/>
    <xf numFmtId="0" fontId="0" fillId="0" borderId="4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  <xf numFmtId="0" fontId="0" fillId="0" borderId="17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/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/>
    <xf numFmtId="0" fontId="0" fillId="0" borderId="24" xfId="0" applyFill="1" applyBorder="1"/>
    <xf numFmtId="0" fontId="0" fillId="3" borderId="4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33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42" xfId="0" applyFill="1" applyBorder="1" applyAlignment="1"/>
    <xf numFmtId="0" fontId="0" fillId="0" borderId="28" xfId="0" applyFill="1" applyBorder="1" applyAlignment="1"/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6" xfId="0" applyFill="1" applyBorder="1" applyAlignment="1"/>
    <xf numFmtId="0" fontId="0" fillId="0" borderId="23" xfId="0" applyFill="1" applyBorder="1" applyAlignment="1">
      <alignment horizontal="center"/>
    </xf>
    <xf numFmtId="0" fontId="0" fillId="0" borderId="19" xfId="0" applyFill="1" applyBorder="1" applyAlignment="1"/>
    <xf numFmtId="0" fontId="0" fillId="0" borderId="20" xfId="0" applyFill="1" applyBorder="1" applyAlignment="1"/>
    <xf numFmtId="0" fontId="0" fillId="0" borderId="22" xfId="0" applyFill="1" applyBorder="1" applyAlignment="1"/>
    <xf numFmtId="0" fontId="0" fillId="0" borderId="14" xfId="0" applyFill="1" applyBorder="1" applyAlignment="1"/>
    <xf numFmtId="0" fontId="0" fillId="0" borderId="27" xfId="0" applyFill="1" applyBorder="1"/>
    <xf numFmtId="0" fontId="0" fillId="0" borderId="42" xfId="0" applyBorder="1"/>
    <xf numFmtId="0" fontId="0" fillId="0" borderId="4" xfId="0" applyBorder="1"/>
    <xf numFmtId="0" fontId="0" fillId="0" borderId="19" xfId="0" applyBorder="1"/>
    <xf numFmtId="0" fontId="0" fillId="0" borderId="25" xfId="0" applyFill="1" applyBorder="1"/>
    <xf numFmtId="0" fontId="0" fillId="0" borderId="26" xfId="0" applyFill="1" applyBorder="1" applyAlignment="1"/>
    <xf numFmtId="0" fontId="0" fillId="0" borderId="25" xfId="0" applyBorder="1"/>
    <xf numFmtId="0" fontId="0" fillId="0" borderId="32" xfId="0" applyFill="1" applyBorder="1" applyAlignment="1"/>
    <xf numFmtId="0" fontId="0" fillId="0" borderId="31" xfId="0" applyFill="1" applyBorder="1" applyAlignment="1">
      <alignment horizontal="right"/>
    </xf>
    <xf numFmtId="0" fontId="0" fillId="0" borderId="47" xfId="0" applyBorder="1"/>
    <xf numFmtId="0" fontId="0" fillId="0" borderId="32" xfId="0" applyBorder="1"/>
    <xf numFmtId="0" fontId="0" fillId="0" borderId="25" xfId="0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/>
    <xf numFmtId="0" fontId="0" fillId="0" borderId="29" xfId="0" applyBorder="1"/>
    <xf numFmtId="0" fontId="0" fillId="0" borderId="18" xfId="0" applyBorder="1"/>
    <xf numFmtId="0" fontId="0" fillId="0" borderId="20" xfId="0" applyBorder="1"/>
    <xf numFmtId="0" fontId="0" fillId="0" borderId="12" xfId="0" applyFill="1" applyBorder="1" applyAlignment="1"/>
    <xf numFmtId="0" fontId="0" fillId="0" borderId="48" xfId="0" applyFill="1" applyBorder="1" applyAlignment="1"/>
    <xf numFmtId="0" fontId="0" fillId="0" borderId="49" xfId="0" applyBorder="1"/>
    <xf numFmtId="0" fontId="0" fillId="0" borderId="43" xfId="0" applyBorder="1"/>
    <xf numFmtId="0" fontId="0" fillId="0" borderId="26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41" xfId="0" applyFill="1" applyBorder="1" applyAlignment="1">
      <alignment horizontal="center"/>
    </xf>
    <xf numFmtId="0" fontId="0" fillId="0" borderId="49" xfId="0" applyFill="1" applyBorder="1" applyAlignment="1"/>
    <xf numFmtId="0" fontId="0" fillId="0" borderId="30" xfId="0" applyFill="1" applyBorder="1" applyAlignment="1"/>
    <xf numFmtId="0" fontId="0" fillId="0" borderId="30" xfId="0" applyBorder="1" applyAlignment="1">
      <alignment horizontal="right"/>
    </xf>
    <xf numFmtId="0" fontId="0" fillId="0" borderId="31" xfId="0" applyBorder="1"/>
    <xf numFmtId="0" fontId="0" fillId="4" borderId="53" xfId="0" applyFill="1" applyBorder="1"/>
    <xf numFmtId="0" fontId="0" fillId="4" borderId="54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15" xfId="0" applyFill="1" applyBorder="1"/>
    <xf numFmtId="0" fontId="0" fillId="5" borderId="18" xfId="0" applyFill="1" applyBorder="1"/>
    <xf numFmtId="0" fontId="0" fillId="5" borderId="4" xfId="0" applyFill="1" applyBorder="1" applyAlignment="1">
      <alignment horizontal="center"/>
    </xf>
    <xf numFmtId="0" fontId="0" fillId="0" borderId="56" xfId="0" applyFill="1" applyBorder="1" applyAlignment="1">
      <alignment horizontal="right" vertical="center"/>
    </xf>
    <xf numFmtId="0" fontId="1" fillId="0" borderId="36" xfId="0" applyFont="1" applyFill="1" applyBorder="1" applyAlignment="1">
      <alignment horizontal="right" vertical="center"/>
    </xf>
    <xf numFmtId="0" fontId="0" fillId="0" borderId="22" xfId="0" applyFill="1" applyBorder="1" applyAlignment="1">
      <alignment horizontal="right" vertical="center"/>
    </xf>
    <xf numFmtId="0" fontId="0" fillId="3" borderId="22" xfId="0" applyFill="1" applyBorder="1" applyAlignment="1">
      <alignment horizontal="right" vertical="center"/>
    </xf>
    <xf numFmtId="0" fontId="1" fillId="0" borderId="22" xfId="0" applyFont="1" applyFill="1" applyBorder="1" applyAlignment="1">
      <alignment horizontal="right" vertical="center"/>
    </xf>
    <xf numFmtId="0" fontId="1" fillId="0" borderId="38" xfId="0" applyFont="1" applyFill="1" applyBorder="1" applyAlignment="1">
      <alignment horizontal="right" vertical="center"/>
    </xf>
    <xf numFmtId="0" fontId="0" fillId="6" borderId="45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60" xfId="0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/>
    </xf>
    <xf numFmtId="0" fontId="3" fillId="8" borderId="51" xfId="0" applyFont="1" applyFill="1" applyBorder="1" applyAlignment="1">
      <alignment horizontal="center"/>
    </xf>
    <xf numFmtId="0" fontId="3" fillId="8" borderId="52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X81"/>
  <sheetViews>
    <sheetView tabSelected="1" topLeftCell="B47" zoomScale="85" zoomScaleNormal="100" workbookViewId="0">
      <selection activeCell="Q22" sqref="Q22:X22"/>
    </sheetView>
  </sheetViews>
  <sheetFormatPr defaultRowHeight="14.4" x14ac:dyDescent="0.3"/>
  <cols>
    <col min="7" max="7" width="8.88671875" customWidth="1"/>
    <col min="17" max="17" width="17.44140625" customWidth="1"/>
    <col min="18" max="18" width="19.77734375" customWidth="1"/>
  </cols>
  <sheetData>
    <row r="2" spans="4:22" x14ac:dyDescent="0.3">
      <c r="E2" s="12" t="s">
        <v>4</v>
      </c>
      <c r="F2" s="13"/>
      <c r="G2" s="14"/>
    </row>
    <row r="3" spans="4:22" x14ac:dyDescent="0.3">
      <c r="E3" s="15">
        <v>351004</v>
      </c>
      <c r="F3" s="16"/>
      <c r="G3" s="17"/>
      <c r="H3" s="9"/>
    </row>
    <row r="4" spans="4:22" x14ac:dyDescent="0.3">
      <c r="E4" s="18" t="s">
        <v>5</v>
      </c>
      <c r="F4" s="19"/>
      <c r="G4" s="20"/>
    </row>
    <row r="8" spans="4:22" x14ac:dyDescent="0.3">
      <c r="E8" s="1" t="s">
        <v>0</v>
      </c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4:22" x14ac:dyDescent="0.3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4:22" x14ac:dyDescent="0.3">
      <c r="D10" s="4"/>
      <c r="E10" s="143" t="s">
        <v>16</v>
      </c>
      <c r="G10" s="143" t="s">
        <v>2</v>
      </c>
      <c r="H10" s="5">
        <v>0</v>
      </c>
      <c r="I10" s="5">
        <v>1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8</v>
      </c>
      <c r="S10" s="4"/>
      <c r="T10" s="4"/>
      <c r="U10" s="4"/>
      <c r="V10" s="4"/>
    </row>
    <row r="11" spans="4:22" x14ac:dyDescent="0.3">
      <c r="D11" s="4"/>
      <c r="E11" s="5">
        <v>12</v>
      </c>
      <c r="F11" s="4"/>
      <c r="G11" s="143" t="s">
        <v>1</v>
      </c>
      <c r="H11" s="5">
        <v>12</v>
      </c>
      <c r="I11" s="5">
        <v>11</v>
      </c>
      <c r="J11" s="5">
        <v>10</v>
      </c>
      <c r="K11" s="5">
        <v>8</v>
      </c>
      <c r="L11" s="5">
        <v>6</v>
      </c>
      <c r="M11" s="5">
        <v>4</v>
      </c>
      <c r="N11" s="5">
        <v>2</v>
      </c>
      <c r="O11" s="5">
        <v>0</v>
      </c>
      <c r="P11" s="5">
        <v>0</v>
      </c>
      <c r="S11" s="4"/>
      <c r="T11" s="4"/>
      <c r="U11" s="4"/>
      <c r="V11" s="4"/>
    </row>
    <row r="12" spans="4:22" ht="15" thickBot="1" x14ac:dyDescent="0.35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4:22" ht="15" thickBot="1" x14ac:dyDescent="0.35">
      <c r="D13" s="4"/>
      <c r="E13" s="159" t="s">
        <v>6</v>
      </c>
      <c r="F13" s="160"/>
      <c r="G13" s="156" t="s">
        <v>2</v>
      </c>
      <c r="H13" s="157"/>
      <c r="I13" s="157"/>
      <c r="J13" s="157"/>
      <c r="K13" s="157"/>
      <c r="L13" s="157"/>
      <c r="M13" s="157"/>
      <c r="N13" s="157"/>
      <c r="O13" s="158"/>
      <c r="P13" s="4"/>
      <c r="Q13" s="4"/>
      <c r="R13" s="4"/>
      <c r="S13" s="4"/>
      <c r="T13" s="4"/>
      <c r="U13" s="4"/>
      <c r="V13" s="4"/>
    </row>
    <row r="14" spans="4:22" x14ac:dyDescent="0.3">
      <c r="D14" s="4"/>
      <c r="E14" s="164"/>
      <c r="F14" s="163"/>
      <c r="G14" s="150">
        <v>0</v>
      </c>
      <c r="H14" s="151">
        <v>1</v>
      </c>
      <c r="I14" s="151">
        <v>2</v>
      </c>
      <c r="J14" s="151">
        <v>3</v>
      </c>
      <c r="K14" s="151">
        <v>4</v>
      </c>
      <c r="L14" s="151">
        <v>5</v>
      </c>
      <c r="M14" s="151">
        <v>6</v>
      </c>
      <c r="N14" s="151">
        <v>7</v>
      </c>
      <c r="O14" s="152">
        <v>8</v>
      </c>
      <c r="Q14" s="35" t="s">
        <v>15</v>
      </c>
      <c r="R14" s="36" t="s">
        <v>1</v>
      </c>
      <c r="S14" s="9"/>
      <c r="T14" s="9"/>
      <c r="U14" s="9"/>
      <c r="V14" s="4"/>
    </row>
    <row r="15" spans="4:22" ht="15" thickBot="1" x14ac:dyDescent="0.35">
      <c r="D15" s="4"/>
      <c r="E15" s="161"/>
      <c r="F15" s="162"/>
      <c r="G15" s="153"/>
      <c r="H15" s="154"/>
      <c r="I15" s="154"/>
      <c r="J15" s="154"/>
      <c r="K15" s="154"/>
      <c r="L15" s="154"/>
      <c r="M15" s="154"/>
      <c r="N15" s="154"/>
      <c r="O15" s="155"/>
      <c r="Q15" s="37"/>
      <c r="R15" s="38" t="s">
        <v>17</v>
      </c>
      <c r="S15" s="21"/>
      <c r="T15" s="21"/>
      <c r="U15" s="21"/>
      <c r="V15" s="4"/>
    </row>
    <row r="16" spans="4:22" ht="15" thickBot="1" x14ac:dyDescent="0.35">
      <c r="D16" s="4"/>
      <c r="E16" s="29" t="s">
        <v>7</v>
      </c>
      <c r="F16" s="30"/>
      <c r="G16" s="27">
        <f>H11</f>
        <v>12</v>
      </c>
      <c r="H16" s="27">
        <f>I11</f>
        <v>11</v>
      </c>
      <c r="I16" s="27">
        <f>J11</f>
        <v>10</v>
      </c>
      <c r="J16" s="27">
        <f>K11</f>
        <v>8</v>
      </c>
      <c r="K16" s="27">
        <f>L11</f>
        <v>6</v>
      </c>
      <c r="L16" s="27">
        <f>M11</f>
        <v>4</v>
      </c>
      <c r="M16" s="27">
        <f>N11</f>
        <v>2</v>
      </c>
      <c r="N16" s="27">
        <f>O11</f>
        <v>0</v>
      </c>
      <c r="O16" s="144">
        <f>P11</f>
        <v>0</v>
      </c>
      <c r="Q16" s="21"/>
      <c r="R16" s="21"/>
      <c r="S16" s="21"/>
      <c r="T16" s="21"/>
      <c r="U16" s="21"/>
      <c r="V16" s="4"/>
    </row>
    <row r="17" spans="4:24" x14ac:dyDescent="0.3">
      <c r="D17" s="4"/>
      <c r="E17" s="31" t="s">
        <v>8</v>
      </c>
      <c r="F17" s="32"/>
      <c r="G17" s="28">
        <f>G16+H16</f>
        <v>23</v>
      </c>
      <c r="H17" s="28">
        <f t="shared" ref="H17:O17" si="0">H16+I16</f>
        <v>21</v>
      </c>
      <c r="I17" s="28">
        <f t="shared" si="0"/>
        <v>18</v>
      </c>
      <c r="J17" s="28">
        <f t="shared" si="0"/>
        <v>14</v>
      </c>
      <c r="K17" s="40">
        <v>11</v>
      </c>
      <c r="L17" s="42">
        <v>11</v>
      </c>
      <c r="M17" s="42">
        <v>11</v>
      </c>
      <c r="N17" s="42">
        <v>11</v>
      </c>
      <c r="O17" s="145">
        <v>11</v>
      </c>
      <c r="Q17" s="35" t="s">
        <v>18</v>
      </c>
      <c r="R17" s="39" t="s">
        <v>19</v>
      </c>
      <c r="S17" s="21"/>
      <c r="T17" s="21"/>
      <c r="U17" s="21"/>
      <c r="V17" s="4"/>
    </row>
    <row r="18" spans="4:24" ht="15" thickBot="1" x14ac:dyDescent="0.35">
      <c r="D18" s="4"/>
      <c r="E18" s="31" t="s">
        <v>9</v>
      </c>
      <c r="F18" s="32"/>
      <c r="G18" s="28">
        <f>G16+H17</f>
        <v>33</v>
      </c>
      <c r="H18" s="28">
        <f>H16+I17</f>
        <v>29</v>
      </c>
      <c r="I18" s="28">
        <f t="shared" ref="I18" si="1">I16+J17</f>
        <v>24</v>
      </c>
      <c r="J18" s="41">
        <v>21</v>
      </c>
      <c r="K18" s="42">
        <v>21</v>
      </c>
      <c r="L18" s="42">
        <v>21</v>
      </c>
      <c r="M18" s="42">
        <v>21</v>
      </c>
      <c r="N18" s="42">
        <v>21</v>
      </c>
      <c r="O18" s="145">
        <v>21</v>
      </c>
      <c r="Q18" s="37"/>
      <c r="R18" s="38" t="s">
        <v>20</v>
      </c>
      <c r="S18" s="21"/>
      <c r="T18" s="21"/>
      <c r="U18" s="21"/>
      <c r="V18" s="4"/>
    </row>
    <row r="19" spans="4:24" x14ac:dyDescent="0.3">
      <c r="D19" s="4"/>
      <c r="E19" s="31" t="s">
        <v>10</v>
      </c>
      <c r="F19" s="32"/>
      <c r="G19" s="28">
        <f>G16+H18</f>
        <v>41</v>
      </c>
      <c r="H19" s="28">
        <f>H16+I18</f>
        <v>35</v>
      </c>
      <c r="I19" s="28">
        <f t="shared" ref="I19:J19" si="2">I16+J18</f>
        <v>31</v>
      </c>
      <c r="J19" s="28">
        <f t="shared" si="2"/>
        <v>29</v>
      </c>
      <c r="K19" s="41">
        <f>29</f>
        <v>29</v>
      </c>
      <c r="L19" s="42">
        <v>29</v>
      </c>
      <c r="M19" s="42">
        <v>29</v>
      </c>
      <c r="N19" s="42">
        <v>29</v>
      </c>
      <c r="O19" s="145">
        <v>29</v>
      </c>
      <c r="Q19" s="21"/>
      <c r="R19" s="21"/>
      <c r="S19" s="21"/>
      <c r="T19" s="21"/>
      <c r="U19" s="21"/>
      <c r="V19" s="4"/>
    </row>
    <row r="20" spans="4:24" ht="15" thickBot="1" x14ac:dyDescent="0.35">
      <c r="D20" s="4"/>
      <c r="E20" s="31" t="s">
        <v>11</v>
      </c>
      <c r="F20" s="32"/>
      <c r="G20" s="28">
        <f>G16+H19</f>
        <v>47</v>
      </c>
      <c r="H20" s="28">
        <f t="shared" ref="H20:K20" si="3">H16+I19</f>
        <v>42</v>
      </c>
      <c r="I20" s="28">
        <f t="shared" si="3"/>
        <v>39</v>
      </c>
      <c r="J20" s="28">
        <f t="shared" si="3"/>
        <v>37</v>
      </c>
      <c r="K20" s="28">
        <f t="shared" si="3"/>
        <v>35</v>
      </c>
      <c r="L20" s="41">
        <f>35</f>
        <v>35</v>
      </c>
      <c r="M20" s="42">
        <v>35</v>
      </c>
      <c r="N20" s="42">
        <v>35</v>
      </c>
      <c r="O20" s="145">
        <v>35</v>
      </c>
      <c r="Q20" s="21"/>
      <c r="R20" s="21"/>
      <c r="S20" s="21"/>
      <c r="T20" s="21"/>
      <c r="U20" s="21"/>
      <c r="V20" s="4"/>
    </row>
    <row r="21" spans="4:24" x14ac:dyDescent="0.3">
      <c r="D21" s="4"/>
      <c r="E21" s="31" t="s">
        <v>12</v>
      </c>
      <c r="F21" s="32"/>
      <c r="G21" s="28">
        <f>G16+H20</f>
        <v>54</v>
      </c>
      <c r="H21" s="28">
        <f t="shared" ref="H21:J21" si="4">H16+I20</f>
        <v>50</v>
      </c>
      <c r="I21" s="28">
        <f t="shared" si="4"/>
        <v>47</v>
      </c>
      <c r="J21" s="28">
        <f t="shared" si="4"/>
        <v>43</v>
      </c>
      <c r="K21" s="43">
        <v>42</v>
      </c>
      <c r="L21" s="42">
        <v>40</v>
      </c>
      <c r="M21" s="42">
        <v>40</v>
      </c>
      <c r="N21" s="42">
        <v>40</v>
      </c>
      <c r="O21" s="145">
        <v>40</v>
      </c>
      <c r="Q21" s="46" t="s">
        <v>22</v>
      </c>
      <c r="R21" s="47"/>
      <c r="S21" s="47"/>
      <c r="T21" s="47"/>
      <c r="U21" s="47"/>
      <c r="V21" s="47"/>
      <c r="W21" s="47"/>
      <c r="X21" s="48"/>
    </row>
    <row r="22" spans="4:24" ht="15" thickBot="1" x14ac:dyDescent="0.35">
      <c r="D22" s="4"/>
      <c r="E22" s="31" t="s">
        <v>13</v>
      </c>
      <c r="F22" s="32"/>
      <c r="G22" s="28">
        <f>G16+H21</f>
        <v>62</v>
      </c>
      <c r="H22" s="28">
        <f>H16+I21</f>
        <v>58</v>
      </c>
      <c r="I22" s="28">
        <f t="shared" ref="I22" si="5">I16+J21</f>
        <v>53</v>
      </c>
      <c r="J22" s="28">
        <f>J16+K21</f>
        <v>50</v>
      </c>
      <c r="K22" s="43">
        <v>50</v>
      </c>
      <c r="L22" s="42">
        <v>50</v>
      </c>
      <c r="M22" s="42">
        <v>50</v>
      </c>
      <c r="N22" s="42">
        <v>50</v>
      </c>
      <c r="O22" s="145">
        <v>50</v>
      </c>
      <c r="Q22" s="49" t="s">
        <v>23</v>
      </c>
      <c r="R22" s="50"/>
      <c r="S22" s="50"/>
      <c r="T22" s="50"/>
      <c r="U22" s="50"/>
      <c r="V22" s="50"/>
      <c r="W22" s="50"/>
      <c r="X22" s="51"/>
    </row>
    <row r="23" spans="4:24" ht="15" thickBot="1" x14ac:dyDescent="0.35">
      <c r="D23" s="4"/>
      <c r="E23" s="33" t="s">
        <v>14</v>
      </c>
      <c r="F23" s="34"/>
      <c r="G23" s="146">
        <f>G16+H22</f>
        <v>70</v>
      </c>
      <c r="H23" s="146">
        <f t="shared" ref="H23:J23" si="6">H16+I22</f>
        <v>64</v>
      </c>
      <c r="I23" s="146">
        <f t="shared" si="6"/>
        <v>60</v>
      </c>
      <c r="J23" s="146">
        <f t="shared" si="6"/>
        <v>58</v>
      </c>
      <c r="K23" s="147">
        <v>58</v>
      </c>
      <c r="L23" s="148">
        <v>58</v>
      </c>
      <c r="M23" s="148">
        <v>58</v>
      </c>
      <c r="N23" s="148">
        <v>58</v>
      </c>
      <c r="O23" s="149">
        <v>58</v>
      </c>
      <c r="Q23" s="21"/>
      <c r="R23" s="21"/>
      <c r="S23" s="21"/>
      <c r="T23" s="21"/>
      <c r="U23" s="21"/>
      <c r="V23" s="4"/>
    </row>
    <row r="24" spans="4:24" x14ac:dyDescent="0.3">
      <c r="D24" s="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4"/>
    </row>
    <row r="25" spans="4:24" x14ac:dyDescent="0.3">
      <c r="D25" s="4"/>
      <c r="E25" s="4"/>
      <c r="F25" s="4"/>
      <c r="G25" s="4"/>
      <c r="H25" s="4" t="s">
        <v>21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4:24" x14ac:dyDescent="0.3">
      <c r="D26" s="4"/>
      <c r="E26" s="1" t="s">
        <v>24</v>
      </c>
      <c r="F26" s="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4:24" ht="15" thickBot="1" x14ac:dyDescent="0.35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4:24" x14ac:dyDescent="0.3">
      <c r="D28" s="4"/>
      <c r="E28" s="108" t="s">
        <v>25</v>
      </c>
      <c r="F28" s="109"/>
      <c r="G28" s="110"/>
      <c r="H28" s="111" t="s">
        <v>26</v>
      </c>
      <c r="I28" s="111"/>
      <c r="J28" s="111"/>
      <c r="K28" s="1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4:24" ht="15" thickBot="1" x14ac:dyDescent="0.35">
      <c r="D29" s="4"/>
      <c r="E29" s="113"/>
      <c r="F29" s="114"/>
      <c r="G29" s="115"/>
      <c r="H29" s="116" t="s">
        <v>27</v>
      </c>
      <c r="I29" s="117" t="s">
        <v>28</v>
      </c>
      <c r="J29" s="117" t="s">
        <v>29</v>
      </c>
      <c r="K29" s="118" t="s">
        <v>30</v>
      </c>
      <c r="L29" s="9"/>
      <c r="M29" s="9"/>
      <c r="N29" s="9"/>
      <c r="O29" s="9"/>
      <c r="P29" s="4"/>
      <c r="Q29" s="45"/>
      <c r="R29" s="45"/>
      <c r="S29" s="45"/>
      <c r="T29" s="45"/>
      <c r="U29" s="4"/>
      <c r="V29" s="4"/>
    </row>
    <row r="30" spans="4:24" x14ac:dyDescent="0.3">
      <c r="D30" s="4"/>
      <c r="E30" s="58">
        <v>50</v>
      </c>
      <c r="F30" s="44"/>
      <c r="G30" s="59"/>
      <c r="H30" s="68">
        <v>8</v>
      </c>
      <c r="I30" s="63">
        <v>10</v>
      </c>
      <c r="J30" s="63">
        <v>7</v>
      </c>
      <c r="K30" s="96">
        <v>10</v>
      </c>
      <c r="L30" s="9"/>
      <c r="M30" s="9"/>
      <c r="N30" s="9"/>
      <c r="O30" s="9"/>
      <c r="P30" s="4"/>
      <c r="Q30" s="45"/>
      <c r="R30" s="45"/>
      <c r="S30" s="45"/>
      <c r="T30" s="45"/>
      <c r="U30" s="4"/>
      <c r="V30" s="4"/>
    </row>
    <row r="31" spans="4:24" x14ac:dyDescent="0.3">
      <c r="D31" s="4"/>
      <c r="E31" s="58">
        <v>100</v>
      </c>
      <c r="F31" s="44"/>
      <c r="G31" s="59"/>
      <c r="H31" s="6">
        <v>13</v>
      </c>
      <c r="I31" s="22">
        <v>12</v>
      </c>
      <c r="J31" s="22">
        <v>14</v>
      </c>
      <c r="K31" s="97">
        <v>13</v>
      </c>
      <c r="L31" s="9"/>
      <c r="M31" s="9"/>
      <c r="N31" s="9"/>
      <c r="O31" s="9"/>
      <c r="P31" s="4"/>
      <c r="Q31" s="45"/>
      <c r="R31" s="45"/>
      <c r="S31" s="45"/>
      <c r="T31" s="45"/>
      <c r="U31" s="4"/>
      <c r="V31" s="4"/>
    </row>
    <row r="32" spans="4:24" x14ac:dyDescent="0.3">
      <c r="D32" s="4"/>
      <c r="E32" s="58">
        <v>150</v>
      </c>
      <c r="F32" s="44"/>
      <c r="G32" s="59"/>
      <c r="H32" s="6">
        <v>22</v>
      </c>
      <c r="I32" s="22">
        <v>21</v>
      </c>
      <c r="J32" s="22">
        <v>22</v>
      </c>
      <c r="K32" s="97">
        <v>23</v>
      </c>
      <c r="L32" s="9"/>
      <c r="M32" s="9"/>
      <c r="N32" s="9"/>
      <c r="O32" s="9"/>
      <c r="P32" s="4"/>
      <c r="Q32" s="45"/>
      <c r="R32" s="45"/>
      <c r="S32" s="45"/>
      <c r="T32" s="45"/>
      <c r="U32" s="4"/>
      <c r="V32" s="4"/>
    </row>
    <row r="33" spans="4:22" x14ac:dyDescent="0.3">
      <c r="D33" s="4"/>
      <c r="E33" s="58">
        <v>200</v>
      </c>
      <c r="F33" s="44"/>
      <c r="G33" s="59"/>
      <c r="H33" s="6">
        <v>31</v>
      </c>
      <c r="I33" s="22">
        <v>38</v>
      </c>
      <c r="J33" s="22">
        <v>29</v>
      </c>
      <c r="K33" s="97">
        <v>30</v>
      </c>
      <c r="L33" s="9"/>
      <c r="M33" s="9"/>
      <c r="N33" s="9"/>
      <c r="O33" s="9"/>
      <c r="P33" s="4"/>
      <c r="Q33" s="45"/>
      <c r="R33" s="45"/>
      <c r="S33" s="45"/>
      <c r="T33" s="45"/>
      <c r="U33" s="4"/>
      <c r="V33" s="4"/>
    </row>
    <row r="34" spans="4:22" ht="15" thickBot="1" x14ac:dyDescent="0.35">
      <c r="D34" s="4"/>
      <c r="E34" s="60">
        <v>250</v>
      </c>
      <c r="F34" s="61"/>
      <c r="G34" s="62"/>
      <c r="H34" s="67">
        <v>39</v>
      </c>
      <c r="I34" s="65">
        <v>40</v>
      </c>
      <c r="J34" s="65">
        <v>38</v>
      </c>
      <c r="K34" s="66">
        <v>41</v>
      </c>
      <c r="L34" s="9"/>
      <c r="M34" s="9"/>
      <c r="N34" s="9"/>
      <c r="O34" s="9"/>
      <c r="P34" s="4"/>
      <c r="Q34" s="45"/>
      <c r="R34" s="45"/>
      <c r="S34" s="45"/>
      <c r="T34" s="45"/>
      <c r="U34" s="4"/>
      <c r="V34" s="4"/>
    </row>
    <row r="35" spans="4:22" x14ac:dyDescent="0.3">
      <c r="D35" s="4"/>
      <c r="E35" s="4"/>
      <c r="F35" s="9"/>
      <c r="G35" s="9"/>
      <c r="H35" s="9"/>
      <c r="I35" s="9"/>
      <c r="J35" s="9"/>
      <c r="K35" s="9"/>
      <c r="L35" s="9"/>
      <c r="M35" s="9"/>
      <c r="N35" s="9"/>
      <c r="O35" s="9"/>
      <c r="P35" s="4"/>
      <c r="Q35" s="4"/>
      <c r="R35" s="4"/>
      <c r="S35" s="4"/>
      <c r="T35" s="4"/>
      <c r="U35" s="4"/>
      <c r="V35" s="4"/>
    </row>
    <row r="36" spans="4:22" ht="15" thickBot="1" x14ac:dyDescent="0.35">
      <c r="D36" s="4"/>
      <c r="E36" s="4"/>
      <c r="F36" s="9"/>
      <c r="G36" s="9"/>
      <c r="H36" s="9"/>
      <c r="I36" s="9"/>
      <c r="J36" s="9"/>
      <c r="K36" s="9"/>
      <c r="L36" s="9"/>
      <c r="M36" s="9"/>
      <c r="N36" s="9"/>
      <c r="O36" s="9"/>
      <c r="P36" s="4"/>
      <c r="Q36" s="4"/>
      <c r="R36" s="4"/>
      <c r="S36" s="4"/>
      <c r="T36" s="4"/>
      <c r="U36" s="4"/>
      <c r="V36" s="4"/>
    </row>
    <row r="37" spans="4:22" x14ac:dyDescent="0.3">
      <c r="D37" s="4"/>
      <c r="E37" s="64" t="s">
        <v>33</v>
      </c>
      <c r="F37" s="52"/>
      <c r="G37" s="52"/>
      <c r="H37" s="52"/>
      <c r="I37" s="52"/>
      <c r="J37" s="52"/>
      <c r="K37" s="52"/>
      <c r="L37" s="52"/>
      <c r="M37" s="53"/>
      <c r="T37" s="4"/>
      <c r="U37" s="4"/>
      <c r="V37" s="4"/>
    </row>
    <row r="38" spans="4:22" x14ac:dyDescent="0.3">
      <c r="D38" s="4"/>
      <c r="E38" s="56" t="s">
        <v>34</v>
      </c>
      <c r="F38" s="7"/>
      <c r="G38" s="7"/>
      <c r="H38" s="7"/>
      <c r="I38" s="7"/>
      <c r="J38" s="7"/>
      <c r="K38" s="7"/>
      <c r="L38" s="7"/>
      <c r="M38" s="57"/>
      <c r="T38" s="4"/>
      <c r="U38" s="4"/>
      <c r="V38" s="4"/>
    </row>
    <row r="39" spans="4:22" ht="15" thickBot="1" x14ac:dyDescent="0.35">
      <c r="D39" s="4"/>
      <c r="E39" s="73"/>
      <c r="F39" s="9"/>
      <c r="G39" s="9"/>
      <c r="H39" s="9"/>
      <c r="I39" s="9"/>
      <c r="J39" s="9"/>
      <c r="K39" s="9"/>
      <c r="L39" s="9"/>
      <c r="M39" s="74"/>
      <c r="N39" s="9"/>
      <c r="O39" s="9"/>
      <c r="P39" s="4"/>
      <c r="Q39" s="4"/>
      <c r="R39" s="4"/>
      <c r="S39" s="4"/>
      <c r="T39" s="4"/>
      <c r="U39" s="4"/>
      <c r="V39" s="4"/>
    </row>
    <row r="40" spans="4:22" x14ac:dyDescent="0.3">
      <c r="D40" s="4"/>
      <c r="E40" s="75"/>
      <c r="F40" s="141" t="s">
        <v>31</v>
      </c>
      <c r="G40" s="23">
        <v>0</v>
      </c>
      <c r="H40" s="23">
        <v>50</v>
      </c>
      <c r="I40" s="23">
        <v>100</v>
      </c>
      <c r="J40" s="23">
        <v>150</v>
      </c>
      <c r="K40" s="23">
        <v>200</v>
      </c>
      <c r="L40" s="24">
        <v>250</v>
      </c>
      <c r="M40" s="74"/>
      <c r="N40" s="9"/>
      <c r="O40" s="9"/>
      <c r="P40" s="4"/>
      <c r="Q40" s="4"/>
      <c r="R40" s="4"/>
      <c r="S40" s="4"/>
      <c r="T40" s="4"/>
      <c r="U40" s="4"/>
      <c r="V40" s="4"/>
    </row>
    <row r="41" spans="4:22" ht="15" thickBot="1" x14ac:dyDescent="0.35">
      <c r="D41" s="4"/>
      <c r="E41" s="75"/>
      <c r="F41" s="142" t="s">
        <v>32</v>
      </c>
      <c r="G41" s="72">
        <v>0</v>
      </c>
      <c r="H41" s="65">
        <v>8</v>
      </c>
      <c r="I41" s="65">
        <v>13</v>
      </c>
      <c r="J41" s="65">
        <v>22</v>
      </c>
      <c r="K41" s="65">
        <v>31</v>
      </c>
      <c r="L41" s="66">
        <v>39</v>
      </c>
      <c r="M41" s="74"/>
      <c r="N41" s="9"/>
      <c r="O41" s="9"/>
      <c r="P41" s="4"/>
      <c r="Q41" s="4"/>
      <c r="R41" s="4"/>
      <c r="S41" s="4"/>
      <c r="T41" s="4"/>
      <c r="U41" s="4"/>
      <c r="V41" s="4"/>
    </row>
    <row r="42" spans="4:22" ht="15" thickBot="1" x14ac:dyDescent="0.35">
      <c r="D42" s="4"/>
      <c r="E42" s="69"/>
      <c r="F42" s="54"/>
      <c r="G42" s="54"/>
      <c r="H42" s="54"/>
      <c r="I42" s="54"/>
      <c r="J42" s="54"/>
      <c r="K42" s="54"/>
      <c r="L42" s="54"/>
      <c r="M42" s="55"/>
      <c r="N42" s="9"/>
      <c r="O42" s="9"/>
      <c r="P42" s="4"/>
      <c r="Q42" s="4"/>
      <c r="R42" s="4"/>
      <c r="S42" s="4"/>
      <c r="T42" s="4"/>
      <c r="U42" s="4"/>
      <c r="V42" s="4"/>
    </row>
    <row r="43" spans="4:22" ht="15" thickBot="1" x14ac:dyDescent="0.35">
      <c r="D43" s="4"/>
      <c r="E43" s="4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4"/>
      <c r="S43" s="4"/>
      <c r="T43" s="4"/>
      <c r="U43" s="4"/>
      <c r="V43" s="4"/>
    </row>
    <row r="44" spans="4:22" x14ac:dyDescent="0.3">
      <c r="D44" s="4"/>
      <c r="E44" s="64" t="s">
        <v>33</v>
      </c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4"/>
      <c r="Q44" s="4"/>
      <c r="R44" s="4"/>
      <c r="S44" s="4"/>
      <c r="T44" s="4"/>
      <c r="U44" s="4"/>
      <c r="V44" s="4"/>
    </row>
    <row r="45" spans="4:22" x14ac:dyDescent="0.3">
      <c r="D45" s="4"/>
      <c r="E45" s="56" t="s">
        <v>35</v>
      </c>
      <c r="F45" s="7"/>
      <c r="G45" s="7"/>
      <c r="H45" s="7"/>
      <c r="I45" s="7"/>
      <c r="J45" s="7"/>
      <c r="K45" s="7"/>
      <c r="L45" s="7"/>
      <c r="M45" s="7"/>
      <c r="N45" s="7"/>
      <c r="O45" s="57"/>
      <c r="P45" s="4"/>
      <c r="Q45" s="4"/>
      <c r="R45" s="4"/>
      <c r="S45" s="4"/>
      <c r="T45" s="4"/>
      <c r="U45" s="4"/>
      <c r="V45" s="4"/>
    </row>
    <row r="46" spans="4:22" ht="15" thickBot="1" x14ac:dyDescent="0.35">
      <c r="D46" s="4"/>
      <c r="E46" s="73"/>
      <c r="F46" s="9"/>
      <c r="G46" s="9"/>
      <c r="H46" s="9"/>
      <c r="I46" s="9"/>
      <c r="J46" s="9"/>
      <c r="K46" s="9"/>
      <c r="L46" s="9"/>
      <c r="M46" s="9"/>
      <c r="N46" s="21"/>
      <c r="O46" s="91"/>
      <c r="P46" s="4"/>
      <c r="Q46" s="4"/>
      <c r="R46" s="4"/>
      <c r="S46" s="4"/>
      <c r="T46" s="4"/>
      <c r="U46" s="4"/>
      <c r="V46" s="4"/>
    </row>
    <row r="47" spans="4:22" x14ac:dyDescent="0.3">
      <c r="D47" s="4"/>
      <c r="E47" s="75"/>
      <c r="F47" s="77" t="s">
        <v>3</v>
      </c>
      <c r="G47" s="119">
        <v>0</v>
      </c>
      <c r="H47" s="109">
        <v>50</v>
      </c>
      <c r="I47" s="109">
        <v>100</v>
      </c>
      <c r="J47" s="109">
        <v>150</v>
      </c>
      <c r="K47" s="109">
        <v>200</v>
      </c>
      <c r="L47" s="120">
        <v>250</v>
      </c>
      <c r="M47" s="124" t="s">
        <v>37</v>
      </c>
      <c r="N47" s="125" t="s">
        <v>38</v>
      </c>
      <c r="O47" s="91"/>
      <c r="P47" s="4"/>
      <c r="Q47" s="4"/>
      <c r="R47" s="4"/>
      <c r="S47" s="4"/>
      <c r="T47" s="4"/>
      <c r="U47" s="4"/>
      <c r="V47" s="4"/>
    </row>
    <row r="48" spans="4:22" ht="15" thickBot="1" x14ac:dyDescent="0.35">
      <c r="E48" s="75"/>
      <c r="F48" s="76" t="s">
        <v>36</v>
      </c>
      <c r="G48" s="121"/>
      <c r="H48" s="122"/>
      <c r="I48" s="122"/>
      <c r="J48" s="122"/>
      <c r="K48" s="122"/>
      <c r="L48" s="123"/>
      <c r="M48" s="126"/>
      <c r="N48" s="127"/>
      <c r="O48" s="92"/>
    </row>
    <row r="49" spans="5:23" x14ac:dyDescent="0.3">
      <c r="E49" s="73"/>
      <c r="F49" s="81">
        <v>0</v>
      </c>
      <c r="G49" s="63" t="s">
        <v>44</v>
      </c>
      <c r="H49" s="63"/>
      <c r="I49" s="63"/>
      <c r="J49" s="63"/>
      <c r="K49" s="63"/>
      <c r="L49" s="87"/>
      <c r="M49" s="88">
        <v>0</v>
      </c>
      <c r="N49" s="89">
        <v>0</v>
      </c>
      <c r="O49" s="92"/>
    </row>
    <row r="50" spans="5:23" x14ac:dyDescent="0.3">
      <c r="E50" s="75"/>
      <c r="F50" s="80">
        <v>50</v>
      </c>
      <c r="G50" s="71" t="s">
        <v>39</v>
      </c>
      <c r="H50" s="71" t="s">
        <v>52</v>
      </c>
      <c r="I50" s="71"/>
      <c r="J50" s="71"/>
      <c r="K50" s="71"/>
      <c r="L50" s="10"/>
      <c r="M50" s="84">
        <v>10</v>
      </c>
      <c r="N50" s="83">
        <v>50</v>
      </c>
      <c r="O50" s="92"/>
    </row>
    <row r="51" spans="5:23" x14ac:dyDescent="0.3">
      <c r="E51" s="75"/>
      <c r="F51" s="81">
        <v>100</v>
      </c>
      <c r="G51" s="71" t="s">
        <v>40</v>
      </c>
      <c r="H51" s="71" t="s">
        <v>53</v>
      </c>
      <c r="I51" s="71" t="s">
        <v>57</v>
      </c>
      <c r="J51" s="71"/>
      <c r="K51" s="71"/>
      <c r="L51" s="10"/>
      <c r="M51" s="84">
        <v>18</v>
      </c>
      <c r="N51" s="83">
        <v>50</v>
      </c>
      <c r="O51" s="92"/>
    </row>
    <row r="52" spans="5:23" x14ac:dyDescent="0.3">
      <c r="E52" s="75"/>
      <c r="F52" s="80">
        <v>150</v>
      </c>
      <c r="G52" s="71" t="s">
        <v>41</v>
      </c>
      <c r="H52" s="71" t="s">
        <v>54</v>
      </c>
      <c r="I52" s="71" t="s">
        <v>58</v>
      </c>
      <c r="J52" s="71" t="s">
        <v>61</v>
      </c>
      <c r="K52" s="71"/>
      <c r="L52" s="10"/>
      <c r="M52" s="84">
        <v>23</v>
      </c>
      <c r="N52" s="83">
        <v>50</v>
      </c>
      <c r="O52" s="92"/>
    </row>
    <row r="53" spans="5:23" x14ac:dyDescent="0.3">
      <c r="E53" s="75"/>
      <c r="F53" s="81">
        <v>200</v>
      </c>
      <c r="G53" s="71" t="s">
        <v>43</v>
      </c>
      <c r="H53" s="71" t="s">
        <v>55</v>
      </c>
      <c r="I53" s="71" t="s">
        <v>59</v>
      </c>
      <c r="J53" s="71" t="s">
        <v>62</v>
      </c>
      <c r="K53" s="71" t="s">
        <v>64</v>
      </c>
      <c r="L53" s="10"/>
      <c r="M53" s="84">
        <v>38</v>
      </c>
      <c r="N53" s="83">
        <v>200</v>
      </c>
      <c r="O53" s="92"/>
    </row>
    <row r="54" spans="5:23" ht="15" thickBot="1" x14ac:dyDescent="0.35">
      <c r="E54" s="75"/>
      <c r="F54" s="82">
        <v>250</v>
      </c>
      <c r="G54" s="72" t="s">
        <v>42</v>
      </c>
      <c r="H54" s="72" t="s">
        <v>56</v>
      </c>
      <c r="I54" s="72" t="s">
        <v>60</v>
      </c>
      <c r="J54" s="72" t="s">
        <v>63</v>
      </c>
      <c r="K54" s="72" t="s">
        <v>65</v>
      </c>
      <c r="L54" s="90" t="s">
        <v>66</v>
      </c>
      <c r="M54" s="85">
        <v>46</v>
      </c>
      <c r="N54" s="86">
        <v>200</v>
      </c>
      <c r="O54" s="92"/>
    </row>
    <row r="55" spans="5:23" ht="15" thickBot="1" x14ac:dyDescent="0.35">
      <c r="E55" s="93"/>
      <c r="F55" s="70"/>
      <c r="G55" s="70"/>
      <c r="H55" s="70"/>
      <c r="I55" s="70"/>
      <c r="J55" s="70"/>
      <c r="K55" s="70"/>
      <c r="L55" s="70"/>
      <c r="M55" s="70"/>
      <c r="N55" s="70"/>
      <c r="O55" s="94"/>
    </row>
    <row r="56" spans="5:23" ht="15" thickBot="1" x14ac:dyDescent="0.35"/>
    <row r="57" spans="5:23" ht="15" thickBot="1" x14ac:dyDescent="0.35">
      <c r="E57" s="64" t="s">
        <v>33</v>
      </c>
      <c r="F57" s="52"/>
      <c r="G57" s="52"/>
      <c r="H57" s="52"/>
      <c r="I57" s="52"/>
      <c r="J57" s="52"/>
      <c r="K57" s="52"/>
      <c r="L57" s="52"/>
      <c r="M57" s="52"/>
      <c r="N57" s="52"/>
      <c r="O57" s="53"/>
      <c r="Q57" s="100" t="s">
        <v>36</v>
      </c>
      <c r="R57" s="101">
        <v>0</v>
      </c>
      <c r="S57" s="101">
        <v>50</v>
      </c>
      <c r="T57" s="101">
        <v>100</v>
      </c>
      <c r="U57" s="101">
        <v>150</v>
      </c>
      <c r="V57" s="101">
        <v>200</v>
      </c>
      <c r="W57" s="102">
        <v>250</v>
      </c>
    </row>
    <row r="58" spans="5:23" x14ac:dyDescent="0.3">
      <c r="E58" s="56" t="s">
        <v>51</v>
      </c>
      <c r="F58" s="7"/>
      <c r="G58" s="7"/>
      <c r="H58" s="7"/>
      <c r="I58" s="7"/>
      <c r="J58" s="7"/>
      <c r="K58" s="7"/>
      <c r="L58" s="7"/>
      <c r="M58" s="7"/>
      <c r="N58" s="7"/>
      <c r="O58" s="57"/>
      <c r="Q58" s="78" t="s">
        <v>32</v>
      </c>
      <c r="R58" s="132">
        <v>0</v>
      </c>
      <c r="S58" s="11">
        <v>8</v>
      </c>
      <c r="T58" s="8">
        <v>13</v>
      </c>
      <c r="U58" s="11">
        <v>22</v>
      </c>
      <c r="V58" s="11">
        <v>31</v>
      </c>
      <c r="W58" s="103">
        <v>39</v>
      </c>
    </row>
    <row r="59" spans="5:23" ht="15" thickBot="1" x14ac:dyDescent="0.35">
      <c r="E59" s="73"/>
      <c r="F59" s="9"/>
      <c r="G59" s="9"/>
      <c r="H59" s="9"/>
      <c r="I59" s="9"/>
      <c r="J59" s="9"/>
      <c r="K59" s="9"/>
      <c r="L59" s="9"/>
      <c r="M59" s="9"/>
      <c r="N59" s="21"/>
      <c r="O59" s="91"/>
      <c r="Q59" s="79" t="s">
        <v>98</v>
      </c>
      <c r="R59" s="131">
        <v>0</v>
      </c>
      <c r="S59" s="104">
        <v>50</v>
      </c>
      <c r="T59" s="133">
        <v>100</v>
      </c>
      <c r="U59" s="104">
        <v>150</v>
      </c>
      <c r="V59" s="104">
        <v>200</v>
      </c>
      <c r="W59" s="105">
        <v>250</v>
      </c>
    </row>
    <row r="60" spans="5:23" x14ac:dyDescent="0.3">
      <c r="E60" s="75"/>
      <c r="F60" s="77" t="s">
        <v>3</v>
      </c>
      <c r="G60" s="119">
        <v>0</v>
      </c>
      <c r="H60" s="109">
        <v>50</v>
      </c>
      <c r="I60" s="109">
        <v>100</v>
      </c>
      <c r="J60" s="109">
        <v>150</v>
      </c>
      <c r="K60" s="109">
        <v>200</v>
      </c>
      <c r="L60" s="120">
        <v>250</v>
      </c>
      <c r="M60" s="124" t="s">
        <v>68</v>
      </c>
      <c r="N60" s="125" t="s">
        <v>38</v>
      </c>
      <c r="O60" s="91"/>
      <c r="Q60" s="99" t="s">
        <v>37</v>
      </c>
      <c r="R60" s="106">
        <v>0</v>
      </c>
      <c r="S60" s="106">
        <v>10</v>
      </c>
      <c r="T60" s="106">
        <v>18</v>
      </c>
      <c r="U60" s="95">
        <v>23</v>
      </c>
      <c r="V60" s="130">
        <v>38</v>
      </c>
      <c r="W60" s="107">
        <v>46</v>
      </c>
    </row>
    <row r="61" spans="5:23" ht="15" thickBot="1" x14ac:dyDescent="0.35">
      <c r="E61" s="75"/>
      <c r="F61" s="76" t="s">
        <v>36</v>
      </c>
      <c r="G61" s="121"/>
      <c r="H61" s="122"/>
      <c r="I61" s="122"/>
      <c r="J61" s="122"/>
      <c r="K61" s="122"/>
      <c r="L61" s="123"/>
      <c r="M61" s="126"/>
      <c r="N61" s="127"/>
      <c r="O61" s="92"/>
      <c r="Q61" s="79" t="s">
        <v>99</v>
      </c>
      <c r="R61" s="104">
        <v>0</v>
      </c>
      <c r="S61" s="104">
        <v>50</v>
      </c>
      <c r="T61" s="104">
        <v>50</v>
      </c>
      <c r="U61" s="133">
        <v>50</v>
      </c>
      <c r="V61" s="131">
        <v>200</v>
      </c>
      <c r="W61" s="105">
        <v>200</v>
      </c>
    </row>
    <row r="62" spans="5:23" x14ac:dyDescent="0.3">
      <c r="E62" s="73"/>
      <c r="F62" s="81">
        <v>0</v>
      </c>
      <c r="G62" s="63" t="s">
        <v>44</v>
      </c>
      <c r="H62" s="63"/>
      <c r="I62" s="63"/>
      <c r="J62" s="63"/>
      <c r="K62" s="63"/>
      <c r="L62" s="87"/>
      <c r="M62" s="88">
        <v>0</v>
      </c>
      <c r="N62" s="89">
        <v>0</v>
      </c>
      <c r="O62" s="92"/>
      <c r="Q62" s="99" t="s">
        <v>68</v>
      </c>
      <c r="R62" s="106">
        <v>0</v>
      </c>
      <c r="S62" s="106">
        <v>10</v>
      </c>
      <c r="T62" s="106">
        <v>18</v>
      </c>
      <c r="U62" s="106">
        <v>25</v>
      </c>
      <c r="V62" s="130">
        <v>38</v>
      </c>
      <c r="W62" s="107">
        <v>46</v>
      </c>
    </row>
    <row r="63" spans="5:23" ht="15" thickBot="1" x14ac:dyDescent="0.35">
      <c r="E63" s="75"/>
      <c r="F63" s="80">
        <v>50</v>
      </c>
      <c r="G63" s="71" t="s">
        <v>47</v>
      </c>
      <c r="H63" s="71" t="s">
        <v>67</v>
      </c>
      <c r="I63" s="71"/>
      <c r="J63" s="71"/>
      <c r="K63" s="71"/>
      <c r="L63" s="10"/>
      <c r="M63" s="84">
        <v>10</v>
      </c>
      <c r="N63" s="83">
        <v>0</v>
      </c>
      <c r="O63" s="92"/>
      <c r="Q63" s="79" t="s">
        <v>100</v>
      </c>
      <c r="R63" s="104">
        <v>0</v>
      </c>
      <c r="S63" s="104">
        <v>0</v>
      </c>
      <c r="T63" s="104">
        <v>0</v>
      </c>
      <c r="U63" s="104">
        <v>50</v>
      </c>
      <c r="V63" s="131">
        <v>0</v>
      </c>
      <c r="W63" s="103">
        <v>0</v>
      </c>
    </row>
    <row r="64" spans="5:23" x14ac:dyDescent="0.3">
      <c r="E64" s="75"/>
      <c r="F64" s="81">
        <v>100</v>
      </c>
      <c r="G64" s="71" t="s">
        <v>69</v>
      </c>
      <c r="H64" s="71" t="s">
        <v>70</v>
      </c>
      <c r="I64" s="71" t="s">
        <v>71</v>
      </c>
      <c r="J64" s="71"/>
      <c r="K64" s="71"/>
      <c r="L64" s="10"/>
      <c r="M64" s="84">
        <v>18</v>
      </c>
      <c r="N64" s="83">
        <v>0</v>
      </c>
      <c r="O64" s="92"/>
      <c r="Q64" s="99" t="s">
        <v>84</v>
      </c>
      <c r="R64" s="106">
        <v>0</v>
      </c>
      <c r="S64" s="106">
        <v>10</v>
      </c>
      <c r="T64" s="106">
        <v>20</v>
      </c>
      <c r="U64" s="106">
        <v>28</v>
      </c>
      <c r="V64" s="106">
        <v>38</v>
      </c>
      <c r="W64" s="128">
        <v>48</v>
      </c>
    </row>
    <row r="65" spans="5:23" ht="15" thickBot="1" x14ac:dyDescent="0.35">
      <c r="E65" s="75"/>
      <c r="F65" s="80">
        <v>150</v>
      </c>
      <c r="G65" s="71" t="s">
        <v>72</v>
      </c>
      <c r="H65" s="71" t="s">
        <v>73</v>
      </c>
      <c r="I65" s="71" t="s">
        <v>74</v>
      </c>
      <c r="J65" s="71" t="s">
        <v>46</v>
      </c>
      <c r="K65" s="71"/>
      <c r="L65" s="10"/>
      <c r="M65" s="84">
        <v>25</v>
      </c>
      <c r="N65" s="83">
        <v>50</v>
      </c>
      <c r="O65" s="92"/>
      <c r="Q65" s="79" t="s">
        <v>101</v>
      </c>
      <c r="R65" s="104">
        <v>0</v>
      </c>
      <c r="S65" s="104" t="s">
        <v>97</v>
      </c>
      <c r="T65" s="104">
        <v>50</v>
      </c>
      <c r="U65" s="104">
        <v>50</v>
      </c>
      <c r="V65" s="104">
        <v>0</v>
      </c>
      <c r="W65" s="129">
        <v>50</v>
      </c>
    </row>
    <row r="66" spans="5:23" ht="15" thickBot="1" x14ac:dyDescent="0.35">
      <c r="E66" s="75"/>
      <c r="F66" s="81">
        <v>200</v>
      </c>
      <c r="G66" s="71" t="s">
        <v>50</v>
      </c>
      <c r="H66" s="71" t="s">
        <v>75</v>
      </c>
      <c r="I66" s="71" t="s">
        <v>76</v>
      </c>
      <c r="J66" s="71" t="s">
        <v>49</v>
      </c>
      <c r="K66" s="71" t="s">
        <v>77</v>
      </c>
      <c r="L66" s="10"/>
      <c r="M66" s="84">
        <v>38</v>
      </c>
      <c r="N66" s="83">
        <v>0</v>
      </c>
      <c r="O66" s="92"/>
    </row>
    <row r="67" spans="5:23" ht="15" thickBot="1" x14ac:dyDescent="0.35">
      <c r="E67" s="75"/>
      <c r="F67" s="82">
        <v>250</v>
      </c>
      <c r="G67" s="72" t="s">
        <v>78</v>
      </c>
      <c r="H67" s="72" t="s">
        <v>79</v>
      </c>
      <c r="I67" s="72" t="s">
        <v>80</v>
      </c>
      <c r="J67" s="72" t="s">
        <v>81</v>
      </c>
      <c r="K67" s="72" t="s">
        <v>82</v>
      </c>
      <c r="L67" s="90" t="s">
        <v>64</v>
      </c>
      <c r="M67" s="85">
        <v>46</v>
      </c>
      <c r="N67" s="86">
        <v>0</v>
      </c>
      <c r="O67" s="92"/>
      <c r="S67" s="135" t="s">
        <v>102</v>
      </c>
      <c r="T67" s="136"/>
      <c r="U67" s="25">
        <v>0</v>
      </c>
    </row>
    <row r="68" spans="5:23" ht="15" thickBot="1" x14ac:dyDescent="0.35">
      <c r="E68" s="93"/>
      <c r="F68" s="70"/>
      <c r="G68" s="70"/>
      <c r="H68" s="70"/>
      <c r="I68" s="70"/>
      <c r="J68" s="70"/>
      <c r="K68" s="70"/>
      <c r="L68" s="70"/>
      <c r="M68" s="70"/>
      <c r="N68" s="70"/>
      <c r="O68" s="94"/>
      <c r="S68" s="137" t="s">
        <v>103</v>
      </c>
      <c r="T68" s="138"/>
      <c r="U68" s="134">
        <v>200</v>
      </c>
    </row>
    <row r="69" spans="5:23" ht="15" thickBot="1" x14ac:dyDescent="0.35">
      <c r="S69" s="137" t="s">
        <v>104</v>
      </c>
      <c r="T69" s="138"/>
      <c r="U69" s="134">
        <v>0</v>
      </c>
    </row>
    <row r="70" spans="5:23" ht="15" thickBot="1" x14ac:dyDescent="0.35">
      <c r="E70" s="64" t="s">
        <v>33</v>
      </c>
      <c r="F70" s="52"/>
      <c r="G70" s="52"/>
      <c r="H70" s="52"/>
      <c r="I70" s="52"/>
      <c r="J70" s="52"/>
      <c r="K70" s="52"/>
      <c r="L70" s="52"/>
      <c r="M70" s="52"/>
      <c r="N70" s="52"/>
      <c r="O70" s="53"/>
      <c r="S70" s="139" t="s">
        <v>105</v>
      </c>
      <c r="T70" s="140"/>
      <c r="U70" s="26">
        <v>50</v>
      </c>
    </row>
    <row r="71" spans="5:23" x14ac:dyDescent="0.3">
      <c r="E71" s="56" t="s">
        <v>83</v>
      </c>
      <c r="F71" s="7"/>
      <c r="G71" s="7"/>
      <c r="H71" s="7"/>
      <c r="I71" s="7"/>
      <c r="J71" s="7"/>
      <c r="K71" s="7"/>
      <c r="L71" s="7"/>
      <c r="M71" s="7"/>
      <c r="N71" s="7"/>
      <c r="O71" s="57"/>
    </row>
    <row r="72" spans="5:23" ht="15" thickBot="1" x14ac:dyDescent="0.35">
      <c r="E72" s="73"/>
      <c r="F72" s="9"/>
      <c r="G72" s="9"/>
      <c r="H72" s="9"/>
      <c r="I72" s="9"/>
      <c r="J72" s="9"/>
      <c r="K72" s="9"/>
      <c r="L72" s="9"/>
      <c r="M72" s="9"/>
      <c r="N72" s="21"/>
      <c r="O72" s="91"/>
    </row>
    <row r="73" spans="5:23" x14ac:dyDescent="0.3">
      <c r="E73" s="75"/>
      <c r="F73" s="77" t="s">
        <v>3</v>
      </c>
      <c r="G73" s="119">
        <v>0</v>
      </c>
      <c r="H73" s="109">
        <v>50</v>
      </c>
      <c r="I73" s="109">
        <v>100</v>
      </c>
      <c r="J73" s="109">
        <v>150</v>
      </c>
      <c r="K73" s="109">
        <v>200</v>
      </c>
      <c r="L73" s="120">
        <v>250</v>
      </c>
      <c r="M73" s="124" t="s">
        <v>84</v>
      </c>
      <c r="N73" s="125" t="s">
        <v>38</v>
      </c>
      <c r="O73" s="91"/>
    </row>
    <row r="74" spans="5:23" ht="15" thickBot="1" x14ac:dyDescent="0.35">
      <c r="E74" s="75"/>
      <c r="F74" s="76" t="s">
        <v>36</v>
      </c>
      <c r="G74" s="121"/>
      <c r="H74" s="122"/>
      <c r="I74" s="122"/>
      <c r="J74" s="122"/>
      <c r="K74" s="122"/>
      <c r="L74" s="123"/>
      <c r="M74" s="126"/>
      <c r="N74" s="127"/>
      <c r="O74" s="92"/>
    </row>
    <row r="75" spans="5:23" x14ac:dyDescent="0.3">
      <c r="E75" s="73"/>
      <c r="F75" s="81">
        <v>0</v>
      </c>
      <c r="G75" s="63" t="s">
        <v>44</v>
      </c>
      <c r="H75" s="63"/>
      <c r="I75" s="63"/>
      <c r="J75" s="63"/>
      <c r="K75" s="63"/>
      <c r="L75" s="87"/>
      <c r="M75" s="88">
        <v>0</v>
      </c>
      <c r="N75" s="89">
        <v>0</v>
      </c>
      <c r="O75" s="92"/>
    </row>
    <row r="76" spans="5:23" x14ac:dyDescent="0.3">
      <c r="E76" s="75"/>
      <c r="F76" s="80">
        <v>50</v>
      </c>
      <c r="G76" s="71" t="s">
        <v>47</v>
      </c>
      <c r="H76" s="71" t="s">
        <v>52</v>
      </c>
      <c r="I76" s="71"/>
      <c r="J76" s="71"/>
      <c r="K76" s="71"/>
      <c r="L76" s="10"/>
      <c r="M76" s="84">
        <v>10</v>
      </c>
      <c r="N76" s="98" t="s">
        <v>97</v>
      </c>
      <c r="O76" s="92"/>
    </row>
    <row r="77" spans="5:23" x14ac:dyDescent="0.3">
      <c r="E77" s="75"/>
      <c r="F77" s="81">
        <v>100</v>
      </c>
      <c r="G77" s="71" t="s">
        <v>69</v>
      </c>
      <c r="H77" s="71" t="s">
        <v>86</v>
      </c>
      <c r="I77" s="71" t="s">
        <v>45</v>
      </c>
      <c r="J77" s="71"/>
      <c r="K77" s="71"/>
      <c r="L77" s="10"/>
      <c r="M77" s="84">
        <v>20</v>
      </c>
      <c r="N77" s="83">
        <v>50</v>
      </c>
      <c r="O77" s="92"/>
    </row>
    <row r="78" spans="5:23" x14ac:dyDescent="0.3">
      <c r="E78" s="75"/>
      <c r="F78" s="80">
        <v>150</v>
      </c>
      <c r="G78" s="71" t="s">
        <v>85</v>
      </c>
      <c r="H78" s="71" t="s">
        <v>87</v>
      </c>
      <c r="I78" s="71" t="s">
        <v>48</v>
      </c>
      <c r="J78" s="71" t="s">
        <v>92</v>
      </c>
      <c r="K78" s="71"/>
      <c r="L78" s="10"/>
      <c r="M78" s="84">
        <v>28</v>
      </c>
      <c r="N78" s="83">
        <v>50</v>
      </c>
      <c r="O78" s="92"/>
    </row>
    <row r="79" spans="5:23" x14ac:dyDescent="0.3">
      <c r="E79" s="75"/>
      <c r="F79" s="81">
        <v>200</v>
      </c>
      <c r="G79" s="71" t="s">
        <v>50</v>
      </c>
      <c r="H79" s="71" t="s">
        <v>88</v>
      </c>
      <c r="I79" s="71" t="s">
        <v>90</v>
      </c>
      <c r="J79" s="71" t="s">
        <v>93</v>
      </c>
      <c r="K79" s="71" t="s">
        <v>95</v>
      </c>
      <c r="L79" s="10"/>
      <c r="M79" s="84">
        <v>38</v>
      </c>
      <c r="N79" s="83">
        <v>0</v>
      </c>
      <c r="O79" s="92"/>
    </row>
    <row r="80" spans="5:23" ht="15" thickBot="1" x14ac:dyDescent="0.35">
      <c r="E80" s="75"/>
      <c r="F80" s="82">
        <v>250</v>
      </c>
      <c r="G80" s="72" t="s">
        <v>78</v>
      </c>
      <c r="H80" s="72" t="s">
        <v>89</v>
      </c>
      <c r="I80" s="72" t="s">
        <v>91</v>
      </c>
      <c r="J80" s="72" t="s">
        <v>94</v>
      </c>
      <c r="K80" s="72" t="s">
        <v>96</v>
      </c>
      <c r="L80" s="90" t="s">
        <v>106</v>
      </c>
      <c r="M80" s="85">
        <v>48</v>
      </c>
      <c r="N80" s="86">
        <v>50</v>
      </c>
      <c r="O80" s="92"/>
    </row>
    <row r="81" spans="5:15" ht="15" thickBot="1" x14ac:dyDescent="0.35">
      <c r="E81" s="93"/>
      <c r="F81" s="70"/>
      <c r="G81" s="70"/>
      <c r="H81" s="70"/>
      <c r="I81" s="70"/>
      <c r="J81" s="70"/>
      <c r="K81" s="70"/>
      <c r="L81" s="70"/>
      <c r="M81" s="70"/>
      <c r="N81" s="70"/>
      <c r="O81" s="94"/>
    </row>
  </sheetData>
  <mergeCells count="71">
    <mergeCell ref="E13:F15"/>
    <mergeCell ref="K14:K15"/>
    <mergeCell ref="L14:L15"/>
    <mergeCell ref="M14:M15"/>
    <mergeCell ref="N14:N15"/>
    <mergeCell ref="O14:O15"/>
    <mergeCell ref="G13:O13"/>
    <mergeCell ref="N73:N74"/>
    <mergeCell ref="S67:T67"/>
    <mergeCell ref="S68:T68"/>
    <mergeCell ref="S69:T69"/>
    <mergeCell ref="S70:T70"/>
    <mergeCell ref="G14:G15"/>
    <mergeCell ref="H14:H15"/>
    <mergeCell ref="I14:I15"/>
    <mergeCell ref="J14:J15"/>
    <mergeCell ref="E70:O70"/>
    <mergeCell ref="E71:O71"/>
    <mergeCell ref="G73:G74"/>
    <mergeCell ref="H73:H74"/>
    <mergeCell ref="I73:I74"/>
    <mergeCell ref="J73:J74"/>
    <mergeCell ref="K73:K74"/>
    <mergeCell ref="L73:L74"/>
    <mergeCell ref="M73:M74"/>
    <mergeCell ref="E58:O58"/>
    <mergeCell ref="G60:G61"/>
    <mergeCell ref="H60:H61"/>
    <mergeCell ref="I60:I61"/>
    <mergeCell ref="J60:J61"/>
    <mergeCell ref="K60:K61"/>
    <mergeCell ref="L60:L61"/>
    <mergeCell ref="M60:M61"/>
    <mergeCell ref="N60:N61"/>
    <mergeCell ref="L47:L48"/>
    <mergeCell ref="M47:M48"/>
    <mergeCell ref="N47:N48"/>
    <mergeCell ref="E44:O44"/>
    <mergeCell ref="E45:O45"/>
    <mergeCell ref="E57:O57"/>
    <mergeCell ref="G47:G48"/>
    <mergeCell ref="H47:H48"/>
    <mergeCell ref="I47:I48"/>
    <mergeCell ref="J47:J48"/>
    <mergeCell ref="K47:K48"/>
    <mergeCell ref="E37:M37"/>
    <mergeCell ref="E38:M38"/>
    <mergeCell ref="H28:K28"/>
    <mergeCell ref="E30:G30"/>
    <mergeCell ref="E31:G31"/>
    <mergeCell ref="E32:G32"/>
    <mergeCell ref="E33:G33"/>
    <mergeCell ref="E34:G34"/>
    <mergeCell ref="E22:F22"/>
    <mergeCell ref="E23:F23"/>
    <mergeCell ref="Q14:Q15"/>
    <mergeCell ref="Q17:Q18"/>
    <mergeCell ref="Q21:X21"/>
    <mergeCell ref="Q22:X22"/>
    <mergeCell ref="E26:G26"/>
    <mergeCell ref="E28:G29"/>
    <mergeCell ref="E16:F16"/>
    <mergeCell ref="E17:F17"/>
    <mergeCell ref="E18:F18"/>
    <mergeCell ref="E19:F19"/>
    <mergeCell ref="E20:F20"/>
    <mergeCell ref="E21:F21"/>
    <mergeCell ref="E8:G8"/>
    <mergeCell ref="E3:G3"/>
    <mergeCell ref="E4:G4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2025-09-20T19:53:57Z</dcterms:modified>
</cp:coreProperties>
</file>